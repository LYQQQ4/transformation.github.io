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94" windowHeight="9145" activeTab="5"/>
  </bookViews>
  <sheets>
    <sheet name="基础信息" sheetId="1" r:id="rId1"/>
    <sheet name="客户名数据库" sheetId="3" r:id="rId2"/>
    <sheet name="产品数据库" sheetId="4" r:id="rId3"/>
    <sheet name="箱型库" sheetId="12" r:id="rId4"/>
    <sheet name="报关单" sheetId="5" r:id="rId5"/>
    <sheet name="Sheet10" sheetId="1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<sst xmlns="http://schemas.openxmlformats.org/spreadsheetml/2006/main" count="480" uniqueCount="336">
  <si>
    <t>新增货物订单</t>
  </si>
  <si>
    <t>公司抬头</t>
  </si>
  <si>
    <t>指令人</t>
  </si>
  <si>
    <t>接收指令日期</t>
  </si>
  <si>
    <t>业务类型</t>
  </si>
  <si>
    <t>客户ID</t>
  </si>
  <si>
    <t>发货地址</t>
  </si>
  <si>
    <t>发件人</t>
  </si>
  <si>
    <t>发件人电话</t>
  </si>
  <si>
    <t>收货地址</t>
  </si>
  <si>
    <t>收件人</t>
  </si>
  <si>
    <t>收件人电话</t>
  </si>
  <si>
    <t>始发地</t>
  </si>
  <si>
    <t>目的地</t>
  </si>
  <si>
    <t>贸易术语</t>
  </si>
  <si>
    <t>备注3</t>
  </si>
  <si>
    <t>出口业务</t>
  </si>
  <si>
    <t>铁岭</t>
  </si>
  <si>
    <t>波兰</t>
  </si>
  <si>
    <t>包装信息维护</t>
  </si>
  <si>
    <t>产品ID</t>
  </si>
  <si>
    <t>品名</t>
  </si>
  <si>
    <t>商品编号</t>
  </si>
  <si>
    <t>件数</t>
  </si>
  <si>
    <t>重量</t>
  </si>
  <si>
    <t>体积</t>
  </si>
  <si>
    <t>计费重量</t>
  </si>
  <si>
    <t>尺寸</t>
  </si>
  <si>
    <t xml:space="preserve">包装种类  </t>
  </si>
  <si>
    <t>报关口岸</t>
  </si>
  <si>
    <t>报关抬头</t>
  </si>
  <si>
    <t>监管条件</t>
  </si>
  <si>
    <t>备注1</t>
  </si>
  <si>
    <t>备注2</t>
  </si>
  <si>
    <t>汽车空调出风口总成</t>
  </si>
  <si>
    <t>北京</t>
  </si>
  <si>
    <t>沃柏铁岭</t>
  </si>
  <si>
    <t>报关信息维护</t>
  </si>
  <si>
    <t>物流信息维护</t>
  </si>
  <si>
    <t>运输方式</t>
  </si>
  <si>
    <t>运单号</t>
  </si>
  <si>
    <t xml:space="preserve">合同协议号  </t>
  </si>
  <si>
    <t>提货日期</t>
  </si>
  <si>
    <t>到港时间</t>
  </si>
  <si>
    <t>放行时间</t>
  </si>
  <si>
    <t>送达时间</t>
  </si>
  <si>
    <t>完整资料发送时间</t>
  </si>
  <si>
    <t>货物流转信息</t>
  </si>
  <si>
    <t>供应商</t>
  </si>
  <si>
    <t>增值服务备注</t>
  </si>
  <si>
    <t>账单期</t>
  </si>
  <si>
    <t>DHL账单格式</t>
  </si>
  <si>
    <t>空运账单格式</t>
  </si>
  <si>
    <t>折扣率</t>
  </si>
  <si>
    <t>税率</t>
  </si>
  <si>
    <t>单价/kg</t>
  </si>
  <si>
    <t>DHL公布运价</t>
  </si>
  <si>
    <t>国内段运输</t>
  </si>
  <si>
    <t>折扣价</t>
  </si>
  <si>
    <t>出口报关操作费</t>
  </si>
  <si>
    <t>其他附加费</t>
  </si>
  <si>
    <t>国际运费</t>
  </si>
  <si>
    <t>燃油附加费</t>
  </si>
  <si>
    <t>THC操作费</t>
  </si>
  <si>
    <t>直接签收附加费</t>
  </si>
  <si>
    <t>清关费</t>
  </si>
  <si>
    <t>国内报关/清关费</t>
  </si>
  <si>
    <t>国外送货费</t>
  </si>
  <si>
    <t>其它杂费</t>
  </si>
  <si>
    <t>费用小计</t>
  </si>
  <si>
    <t>国内运输账单格式</t>
  </si>
  <si>
    <t>海运账单格式</t>
  </si>
  <si>
    <t xml:space="preserve"> 提货费 </t>
  </si>
  <si>
    <t>在途运费</t>
  </si>
  <si>
    <t>出口报关费</t>
  </si>
  <si>
    <t>送货费</t>
  </si>
  <si>
    <t>THC/港杂等操作费</t>
  </si>
  <si>
    <t>海运费</t>
  </si>
  <si>
    <t>国内THC/港杂费</t>
  </si>
  <si>
    <t>进口清关费</t>
  </si>
  <si>
    <t>地区</t>
  </si>
  <si>
    <t xml:space="preserve">中文公司名称 </t>
  </si>
  <si>
    <t>英文公司名称</t>
  </si>
  <si>
    <t>中文地址</t>
  </si>
  <si>
    <t>英文地址</t>
  </si>
  <si>
    <t>邮编</t>
  </si>
  <si>
    <t>姓名</t>
  </si>
  <si>
    <t>电话</t>
  </si>
  <si>
    <t>邮箱</t>
  </si>
  <si>
    <t>税号/欧盟号</t>
  </si>
  <si>
    <t>海关10位数</t>
  </si>
  <si>
    <t>备注</t>
  </si>
  <si>
    <t>CN01</t>
  </si>
  <si>
    <t>中国铁岭</t>
  </si>
  <si>
    <t>Weber Engineering &amp; Manufacturing (Tieling) Co.,Ltd
沃柏精工制造（铁岭）有限公司</t>
  </si>
  <si>
    <t>No.4 plant,Anling Industrial Park, 
Dongli Ave. Tieling , Liaoning
112000, P.R.China
辽宁省铁岭市铁岭县腰堡镇动力大道与和谐大街交汇安岭工业园区4号厂房</t>
  </si>
  <si>
    <t>Dou.baojun</t>
  </si>
  <si>
    <t>Dou.baojun@weber-group.com</t>
  </si>
  <si>
    <t>91211200MADQ64Q38W</t>
  </si>
  <si>
    <t>总成/叶片</t>
  </si>
  <si>
    <t>CN02</t>
  </si>
  <si>
    <t>中国苏州</t>
  </si>
  <si>
    <t>Weber Plastics Technology &amp; Mould Making
(Suzhou) Co., Ltd.
沃柏模塑科技（苏州）有限公司</t>
  </si>
  <si>
    <t>No.1 Fujin Road
CN-215159 SUZHOU
江苏苏州富锦路1号</t>
  </si>
  <si>
    <t>Viki Sun</t>
  </si>
  <si>
    <t>Sun.Yuqi@weber-group.com</t>
  </si>
  <si>
    <t>913205005985846441</t>
  </si>
  <si>
    <t>CN03</t>
  </si>
  <si>
    <t>中国沈阳</t>
  </si>
  <si>
    <t>沈阳货站</t>
  </si>
  <si>
    <t>Yingchun North St, Sujiatun District,
Shenyang, Liaoning
110000 SHENYANG
宇泽成商贸屋东南65米，苏家屯区迎春北街附近</t>
  </si>
  <si>
    <t>周立岩</t>
  </si>
  <si>
    <t>/</t>
  </si>
  <si>
    <t>中转站</t>
  </si>
  <si>
    <t>CN04</t>
  </si>
  <si>
    <t>中国上海</t>
  </si>
  <si>
    <t>上海华伟</t>
  </si>
  <si>
    <t>上海市宝山区金石路163号</t>
  </si>
  <si>
    <t>张向丽</t>
  </si>
  <si>
    <t>地毯加工厂</t>
  </si>
  <si>
    <t>EUR01</t>
  </si>
  <si>
    <t>wezi – tec Sp. z o.o.</t>
  </si>
  <si>
    <t>Ul. Jaworzyńska 299
59-220 Legnica</t>
  </si>
  <si>
    <t>Dawid Kromka</t>
  </si>
  <si>
    <t>+48768551864</t>
  </si>
  <si>
    <t>Kromka.Dawid@weber-group.com</t>
  </si>
  <si>
    <t>PL6912221455</t>
  </si>
  <si>
    <t>塑料粒子/</t>
  </si>
  <si>
    <t>EUR02</t>
  </si>
  <si>
    <t>德国</t>
  </si>
  <si>
    <t>Weber GmbH &amp; Co. KG</t>
  </si>
  <si>
    <t xml:space="preserve">Kunststofftechnik - Formenbau
Industriestraße 14
D-35683 </t>
  </si>
  <si>
    <t>Michael Hubscher
Christ.Frank-Peter</t>
  </si>
  <si>
    <t>+49 1719 794493
+49 151-17280285</t>
  </si>
  <si>
    <t>Huebscher.Michael@Weber-Group.com
Christ.Frank-Peter@weber-group.com</t>
  </si>
  <si>
    <t>有多个联系人及产品</t>
  </si>
  <si>
    <t>EUR03</t>
  </si>
  <si>
    <t>斯洛伐克</t>
  </si>
  <si>
    <t>STRAHLE+HESS SLOVAKIA s.r.o.</t>
  </si>
  <si>
    <t>Odbojárov 5005/31 | 955 01  Topoľčany， Slovakia;</t>
  </si>
  <si>
    <t>Oliver Galbavý</t>
  </si>
  <si>
    <t>+421(0)385368445</t>
  </si>
  <si>
    <t>o-galbavy@straehle-hess.com</t>
  </si>
  <si>
    <t>SK2120555822</t>
  </si>
  <si>
    <t>拉带</t>
  </si>
  <si>
    <t>EUR04</t>
  </si>
  <si>
    <t>瑞士</t>
  </si>
  <si>
    <t>Sonceboz Automotive S.A.</t>
  </si>
  <si>
    <t>Rue Rosselet-Challandes 5
CH-2605 SONCEBOZ，SWITZERLAND</t>
  </si>
  <si>
    <t>WINLING MARIE</t>
  </si>
  <si>
    <t xml:space="preserve"> +41 (0)32 488 1181</t>
  </si>
  <si>
    <t>MARIE.WINLING@SONCEBOZ.COM</t>
  </si>
  <si>
    <t>CHE388683066</t>
  </si>
  <si>
    <t>执行器</t>
  </si>
  <si>
    <t>EUR05</t>
  </si>
  <si>
    <t>Lindenfarb Textilveredelung GmbH</t>
  </si>
  <si>
    <t>Silvia Kariegus
Faerberstraße 10
73432 Aalen-Unterkochen
Germany</t>
  </si>
  <si>
    <t>Kariegus, Silvia</t>
  </si>
  <si>
    <t>+49 (0) 7051 / 1302 – 27</t>
  </si>
  <si>
    <t>S-Kariegus@straehle-hess.de</t>
  </si>
  <si>
    <t>DE 256549813</t>
  </si>
  <si>
    <t>地毯</t>
  </si>
  <si>
    <t>EUR07</t>
  </si>
  <si>
    <t>意大利</t>
  </si>
  <si>
    <t>Cultraro Automazione Engineering S.r.l.</t>
  </si>
  <si>
    <t>Veronica Li Vigni
Via Albenga, 94 10098
Rivoli (TO) Italia</t>
  </si>
  <si>
    <t>veronica.livigni</t>
  </si>
  <si>
    <t>+390119665773</t>
  </si>
  <si>
    <t>veronica.livigni@cultraro.it</t>
  </si>
  <si>
    <t>IT07407810014</t>
  </si>
  <si>
    <t>阻尼器</t>
  </si>
  <si>
    <t>EUR08</t>
  </si>
  <si>
    <t>PMM-OIL GMBH</t>
  </si>
  <si>
    <t>August-Rost-Str. 7 DE-99310 Arnstadt Germany</t>
  </si>
  <si>
    <t>Annett Adolf</t>
  </si>
  <si>
    <t>+49 [03628)66 11 99</t>
  </si>
  <si>
    <t>sales@pmmoil.de</t>
  </si>
  <si>
    <t>DE158265791</t>
  </si>
  <si>
    <t>油脂</t>
  </si>
  <si>
    <t>EUR09</t>
  </si>
  <si>
    <t>SCHERDEL GmbH</t>
  </si>
  <si>
    <t>Scherdelstraße 2
D-95615 MARKTREDWITZ</t>
  </si>
  <si>
    <t>Petra Goeschel-Tabatabaei</t>
  </si>
  <si>
    <t>+493074790613</t>
  </si>
  <si>
    <t>petra.goeschel-tabatabaei@scherdel.com</t>
  </si>
  <si>
    <t>DE811206939</t>
  </si>
  <si>
    <t>铝制垫片</t>
  </si>
  <si>
    <t>EUR10</t>
  </si>
  <si>
    <t>Isowa GmbH</t>
  </si>
  <si>
    <t>Versand / Tor 1 / Halle A
Hommeswiese 114
57258 Freudenberg</t>
  </si>
  <si>
    <t>Okan Ünal</t>
  </si>
  <si>
    <t>+49 2734 27 38 - 42</t>
  </si>
  <si>
    <t>abholanmeldung-ho114@isowa.de</t>
  </si>
  <si>
    <t>DE811305505</t>
  </si>
  <si>
    <t>英文描述</t>
  </si>
  <si>
    <t>HS CODE</t>
  </si>
  <si>
    <t>申报要素</t>
  </si>
  <si>
    <t>产地</t>
  </si>
  <si>
    <t>监管方式</t>
  </si>
  <si>
    <t>征免性质</t>
  </si>
  <si>
    <t>贸易国（地区）</t>
  </si>
  <si>
    <t>运抵国（地区）</t>
  </si>
  <si>
    <t>指运港</t>
  </si>
  <si>
    <t>成交方式</t>
  </si>
  <si>
    <t>原产国(地区)</t>
  </si>
  <si>
    <t>最终目的国(地区)</t>
  </si>
  <si>
    <t>境内货源地</t>
  </si>
  <si>
    <t>征免</t>
  </si>
  <si>
    <t>001</t>
  </si>
  <si>
    <t>e-Airvent</t>
  </si>
  <si>
    <t>汽车内饰出风口零件总成</t>
  </si>
  <si>
    <t>XX车内出风口总成零件
品牌：无
型号：无
适用车型：宝马/奔驰XX车型车内空调出风口</t>
  </si>
  <si>
    <t>中国</t>
  </si>
  <si>
    <t>根据车型调整</t>
  </si>
  <si>
    <t>002</t>
  </si>
  <si>
    <t>LAMELLAS</t>
  </si>
  <si>
    <t>汽车内饰出风口叶片</t>
  </si>
  <si>
    <t>1.中文品名：塑料出风口零件
2.产品用途：用于汽车装载上面的塑料内饰件
3.品牌：无
4.材质：塑料粒子（ ABS塑胶粒)
5.规格尺寸：无
6.型号：无型号;
7.适用车型：XX
8.零件号：XX</t>
  </si>
  <si>
    <t>003</t>
  </si>
  <si>
    <t>EC11 Unlocking Belt，XXXX</t>
  </si>
  <si>
    <t>编织带/拉带</t>
  </si>
  <si>
    <t>产品尺寸：40mm
产品材质：针织/涤纶100%</t>
  </si>
  <si>
    <t>004</t>
  </si>
  <si>
    <t>Damper FA2-NE050-NE</t>
  </si>
  <si>
    <t>用途：储物盒盖板活动控制
功能：与弹簧配合控制开启速度
型号：FA2-NE050-NE
无GTIN / 无CAS</t>
  </si>
  <si>
    <t>005</t>
  </si>
  <si>
    <t>Smart Actuator for e-Airvent</t>
  </si>
  <si>
    <t>用途：是根据控制信号来控制执行器内部的阀门或电机等部件，从而实现机械设备的运动、位置和力量等参数控制。
品牌：sonceboz
输出功率：5.5W
机座尺寸：64.1mm*45.9mm*17.95mm</t>
  </si>
  <si>
    <t>瑞士贸易协定</t>
  </si>
  <si>
    <t>006</t>
  </si>
  <si>
    <t>EC11 Outer Cover Fabric Black Interior</t>
  </si>
  <si>
    <t>地毯/包覆布料</t>
  </si>
  <si>
    <t>品名：包覆布料
织造方法：针织
染整方法：色织
成分含量：97%涤纶，3%氨纶
幅宽：1.85米/1.65米</t>
  </si>
  <si>
    <t>有不同的幅宽和颜色</t>
  </si>
  <si>
    <t>007</t>
  </si>
  <si>
    <t>PMM lub® GP-K2 25KG HOBBOCK</t>
  </si>
  <si>
    <t>其它润滑脂</t>
  </si>
  <si>
    <t>1.品名:其他润滑脂
2.用途:降低摩擦表面的摩擦损伤并起到润滑的作用
3.成分:合成碳氢化合物 90%无机增稠剂和添加剂 10%
4.从石油或沥青提取矿物油类的百分比含量:0%
5.包装规格:罐装
品牌:无
7.型号:GP-K2
8. GTIN:无
9.CAS:68649-12-7</t>
  </si>
  <si>
    <t>需MSDS，9类危险品</t>
  </si>
  <si>
    <t>008</t>
  </si>
  <si>
    <t>test equipment-BABY-LIN-3-RC</t>
  </si>
  <si>
    <t>电源驱动器</t>
  </si>
  <si>
    <t>电源驱动器
车载空调驱动用|接通车载照明用电，驱动空调运转的作用|驱动产品|直流稳压电源|额定输出功率60W（5A,12V）|精度±1%|无品牌，无型号</t>
  </si>
  <si>
    <t>需免3C说明</t>
  </si>
  <si>
    <t>009</t>
  </si>
  <si>
    <t>BR206 Defroster ，lack，1-schicht CN</t>
  </si>
  <si>
    <t>塑料盖板</t>
  </si>
  <si>
    <t>其他车身未列名零部件（塑料面板）
适用于新款奔驰C级轿车，用于装载在汽车中控上面的塑料面板|无中文或外文。</t>
  </si>
  <si>
    <t>010</t>
  </si>
  <si>
    <t>Special Nut P-22-004</t>
  </si>
  <si>
    <t>螺母</t>
  </si>
  <si>
    <t>材质：碳钢，无品牌型号</t>
  </si>
  <si>
    <t>011</t>
  </si>
  <si>
    <t>cable grommet</t>
  </si>
  <si>
    <t>防水垫圈</t>
  </si>
  <si>
    <t>4016931000
4008190000</t>
  </si>
  <si>
    <t>是否海绵橡胶：否
材质：三元乙丙橡胶
用途：用于产品装配，变成一个成品，奔驰充电口盖小总成
没有硫化|无品牌型号</t>
  </si>
  <si>
    <t>012</t>
  </si>
  <si>
    <t>Vorverrastscheibe</t>
  </si>
  <si>
    <t>铝制垫片
4|3|工业用|铝制</t>
  </si>
  <si>
    <t>013</t>
  </si>
  <si>
    <t>MB.EA-M Charge lid</t>
  </si>
  <si>
    <t>电车充电盖总成</t>
  </si>
  <si>
    <t>电车充电口盖总成
品牌：无，型号：无
适用车型：奔驰汽车充电口盖总成
零件号：XX</t>
  </si>
  <si>
    <t xml:space="preserve">箱型ID </t>
  </si>
  <si>
    <t>包装类型</t>
  </si>
  <si>
    <t>中华人民共和国海关出口货物报关单</t>
  </si>
  <si>
    <t xml:space="preserve">            预录入编号：                                                                           海关编号：                                                                                            页码/页数：</t>
  </si>
  <si>
    <t xml:space="preserve">境内发货人  (91211200MADQ64Q38W) </t>
  </si>
  <si>
    <t>出境关别</t>
  </si>
  <si>
    <t>出口日期</t>
  </si>
  <si>
    <t>申报日期</t>
  </si>
  <si>
    <t>备案号</t>
  </si>
  <si>
    <t>沃柏精工制造(铁岭)有限公司</t>
  </si>
  <si>
    <t xml:space="preserve">境外收货人 </t>
  </si>
  <si>
    <t>运输工具名称及航次号</t>
  </si>
  <si>
    <t>提运单号</t>
  </si>
  <si>
    <t>Wezi Tec Sp.z.o.o</t>
  </si>
  <si>
    <t>空运</t>
  </si>
  <si>
    <t xml:space="preserve">生产销售单位 </t>
  </si>
  <si>
    <t>许可证号</t>
  </si>
  <si>
    <t>一般贸易</t>
  </si>
  <si>
    <t xml:space="preserve"> </t>
  </si>
  <si>
    <t>合同协议号</t>
  </si>
  <si>
    <t>离境口岸</t>
  </si>
  <si>
    <t>4300104393/4300103647</t>
  </si>
  <si>
    <t>包装种类</t>
  </si>
  <si>
    <t>毛重(千克)</t>
  </si>
  <si>
    <t>净重(千克)</t>
  </si>
  <si>
    <t>运费</t>
  </si>
  <si>
    <t>保费</t>
  </si>
  <si>
    <t>杂费</t>
  </si>
  <si>
    <t>纸箱</t>
  </si>
  <si>
    <t>FOB</t>
  </si>
  <si>
    <t>随附单证</t>
  </si>
  <si>
    <t>随附单证1：                                                                                                               随附单证2：</t>
  </si>
  <si>
    <t xml:space="preserve">标记唛码及备注   </t>
  </si>
  <si>
    <t xml:space="preserve"> 唛头是必填项目!     </t>
  </si>
  <si>
    <t>项号</t>
  </si>
  <si>
    <t>商品名称、规格型号</t>
  </si>
  <si>
    <t>数量及单位</t>
  </si>
  <si>
    <t>单价</t>
  </si>
  <si>
    <t>总价</t>
  </si>
  <si>
    <t>币制</t>
  </si>
  <si>
    <t xml:space="preserve">G5x 车内出风口总成零件
G5x Airvent LHD CS
品牌：无
型号：无
适用车型：宝马NA0车型车内空调出风口
</t>
  </si>
  <si>
    <t>10套</t>
  </si>
  <si>
    <t>欧元</t>
  </si>
  <si>
    <t>辽宁铁岭</t>
  </si>
  <si>
    <t xml:space="preserve">NA0 车内出风口总成零件
NA0 Airvent LHD CS,FIZ
品牌：无
型号：无
适用车型：宝马NA0车型车内空调出风口
</t>
  </si>
  <si>
    <t>17套</t>
  </si>
  <si>
    <t>特殊关系确认：是                 价格影响确认： 否                   支付特许权使用费确认：否                     自报自缴：         品牌类型：境外品牌（其他）              享惠情情况：不确定</t>
  </si>
  <si>
    <t>申报人员</t>
  </si>
  <si>
    <t>申报人员证号</t>
  </si>
  <si>
    <t>兹申明对以上内容承担如实申报、依法纳税之法律责任</t>
  </si>
  <si>
    <t>海关批注及盖章</t>
  </si>
  <si>
    <t>申报单位：</t>
  </si>
  <si>
    <t>申报单位（盖章）</t>
  </si>
  <si>
    <t>1.基础信息</t>
  </si>
  <si>
    <t>发件人ID</t>
  </si>
  <si>
    <t>货物品名</t>
  </si>
  <si>
    <t>只填ID</t>
  </si>
  <si>
    <t>根据ID自动索引数据库</t>
  </si>
  <si>
    <t>2.包装信息维护</t>
  </si>
  <si>
    <t>3.提货运输跟踪</t>
  </si>
  <si>
    <t>到货时间</t>
  </si>
  <si>
    <t>运输供应商</t>
  </si>
  <si>
    <t>4.报关信息维护跟踪</t>
  </si>
  <si>
    <t>开始报关时间</t>
  </si>
  <si>
    <t>付税时间</t>
  </si>
  <si>
    <t>报关单号</t>
  </si>
  <si>
    <t>报关供应商</t>
  </si>
  <si>
    <t>5.送货运输跟踪</t>
  </si>
  <si>
    <t>完整单据回复时间</t>
  </si>
  <si>
    <t>6.单据制作生成</t>
  </si>
  <si>
    <t>Part-No.:</t>
  </si>
  <si>
    <t>手填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</si>
</sst>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&quot;个&quot;"/>
  </numFmts>
  <fonts count="37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name val="Microsoft YaHei UI"/>
      <charset val="134"/>
    </font>
    <font>
      <b/>
      <sz val="11"/>
      <name val="Microsoft YaHei UI"/>
      <charset val="134"/>
    </font>
    <font>
      <sz val="9"/>
      <color theme="1"/>
      <name val="微软雅黑"/>
      <charset val="134"/>
    </font>
    <font>
      <sz val="9"/>
      <color rgb="FF000000"/>
      <name val="微软雅黑"/>
      <charset val="134"/>
    </font>
    <font>
      <sz val="9"/>
      <name val="微软雅黑"/>
      <charset val="134"/>
    </font>
    <font>
      <u/>
      <sz val="9"/>
      <color rgb="FF0000FF"/>
      <name val="微软雅黑"/>
      <charset val="0"/>
    </font>
    <font>
      <u/>
      <sz val="11"/>
      <color rgb="FF0000FF"/>
      <name val="微软雅黑"/>
      <charset val="0"/>
    </font>
    <font>
      <u/>
      <sz val="11"/>
      <color rgb="FF800080"/>
      <name val="微软雅黑"/>
      <charset val="0"/>
    </font>
    <font>
      <u/>
      <sz val="9"/>
      <color rgb="FF0000FF"/>
      <name val="微软雅黑"/>
      <charset val="134"/>
    </font>
    <font>
      <sz val="11"/>
      <color theme="0"/>
      <name val="微软雅黑"/>
      <charset val="134"/>
    </font>
    <font>
      <sz val="11"/>
      <name val="宋体"/>
      <charset val="134"/>
      <scheme val="minor"/>
    </font>
    <font>
      <sz val="11"/>
      <color rgb="FFFFC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D9D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BFFA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0" fillId="8" borderId="15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16">
      <alignment vertical="center"/>
    </xf>
    <xf numFmtId="0" fontId="23" fillId="0" borderId="16">
      <alignment vertical="center"/>
    </xf>
    <xf numFmtId="0" fontId="24" fillId="0" borderId="17">
      <alignment vertical="center"/>
    </xf>
    <xf numFmtId="0" fontId="24" fillId="0" borderId="0">
      <alignment vertical="center"/>
    </xf>
    <xf numFmtId="0" fontId="25" fillId="9" borderId="18">
      <alignment vertical="center"/>
    </xf>
    <xf numFmtId="0" fontId="26" fillId="10" borderId="19">
      <alignment vertical="center"/>
    </xf>
    <xf numFmtId="0" fontId="27" fillId="10" borderId="18">
      <alignment vertical="center"/>
    </xf>
    <xf numFmtId="0" fontId="28" fillId="11" borderId="20">
      <alignment vertical="center"/>
    </xf>
    <xf numFmtId="0" fontId="29" fillId="0" borderId="21">
      <alignment vertical="center"/>
    </xf>
    <xf numFmtId="0" fontId="30" fillId="0" borderId="22">
      <alignment vertical="center"/>
    </xf>
    <xf numFmtId="0" fontId="31" fillId="12" borderId="0">
      <alignment vertical="center"/>
    </xf>
    <xf numFmtId="0" fontId="32" fillId="13" borderId="0">
      <alignment vertical="center"/>
    </xf>
    <xf numFmtId="0" fontId="33" fillId="14" borderId="0">
      <alignment vertical="center"/>
    </xf>
    <xf numFmtId="0" fontId="34" fillId="6" borderId="0">
      <alignment vertical="center"/>
    </xf>
    <xf numFmtId="0" fontId="35" fillId="15" borderId="0">
      <alignment vertical="center"/>
    </xf>
    <xf numFmtId="0" fontId="35" fillId="16" borderId="0">
      <alignment vertical="center"/>
    </xf>
    <xf numFmtId="0" fontId="34" fillId="17" borderId="0">
      <alignment vertical="center"/>
    </xf>
    <xf numFmtId="0" fontId="34" fillId="18" borderId="0">
      <alignment vertical="center"/>
    </xf>
    <xf numFmtId="0" fontId="35" fillId="19" borderId="0">
      <alignment vertical="center"/>
    </xf>
    <xf numFmtId="0" fontId="35" fillId="20" borderId="0">
      <alignment vertical="center"/>
    </xf>
    <xf numFmtId="0" fontId="34" fillId="21" borderId="0">
      <alignment vertical="center"/>
    </xf>
    <xf numFmtId="0" fontId="34" fillId="22" borderId="0">
      <alignment vertical="center"/>
    </xf>
    <xf numFmtId="0" fontId="35" fillId="23" borderId="0">
      <alignment vertical="center"/>
    </xf>
    <xf numFmtId="0" fontId="35" fillId="24" borderId="0">
      <alignment vertical="center"/>
    </xf>
    <xf numFmtId="0" fontId="34" fillId="25" borderId="0">
      <alignment vertical="center"/>
    </xf>
    <xf numFmtId="0" fontId="34" fillId="26" borderId="0">
      <alignment vertical="center"/>
    </xf>
    <xf numFmtId="0" fontId="35" fillId="27" borderId="0">
      <alignment vertical="center"/>
    </xf>
    <xf numFmtId="0" fontId="35" fillId="28" borderId="0">
      <alignment vertical="center"/>
    </xf>
    <xf numFmtId="0" fontId="34" fillId="29" borderId="0">
      <alignment vertical="center"/>
    </xf>
    <xf numFmtId="0" fontId="34" fillId="30" borderId="0">
      <alignment vertical="center"/>
    </xf>
    <xf numFmtId="0" fontId="35" fillId="31" borderId="0">
      <alignment vertical="center"/>
    </xf>
    <xf numFmtId="0" fontId="35" fillId="32" borderId="0">
      <alignment vertical="center"/>
    </xf>
    <xf numFmtId="0" fontId="34" fillId="33" borderId="0">
      <alignment vertical="center"/>
    </xf>
    <xf numFmtId="0" fontId="34" fillId="34" borderId="0">
      <alignment vertical="center"/>
    </xf>
    <xf numFmtId="0" fontId="35" fillId="35" borderId="0">
      <alignment vertical="center"/>
    </xf>
    <xf numFmtId="0" fontId="35" fillId="36" borderId="0">
      <alignment vertical="center"/>
    </xf>
    <xf numFmtId="0" fontId="34" fillId="37" borderId="0">
      <alignment vertical="center"/>
    </xf>
    <xf numFmtId="0" fontId="36" fillId="6" borderId="0" applyNumberFormat="0" applyBorder="0" applyAlignment="0" applyProtection="0">
      <alignment vertical="center"/>
    </xf>
  </cellStyleXfs>
  <cellXfs count="9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2" fillId="2" borderId="0" xfId="49" applyNumberFormat="1" applyFont="1" applyFill="1" applyAlignment="1">
      <alignment horizontal="center" vertical="center"/>
    </xf>
    <xf numFmtId="0" fontId="2" fillId="2" borderId="0" xfId="49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2" borderId="0" xfId="49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14" fontId="5" fillId="4" borderId="2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2" fontId="5" fillId="4" borderId="2" xfId="0" applyNumberFormat="1" applyFont="1" applyFill="1" applyBorder="1" applyAlignment="1">
      <alignment horizontal="left" vertical="center"/>
    </xf>
    <xf numFmtId="4" fontId="5" fillId="4" borderId="2" xfId="0" applyNumberFormat="1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177" fontId="5" fillId="5" borderId="3" xfId="0" applyNumberFormat="1" applyFont="1" applyFill="1" applyBorder="1" applyAlignment="1">
      <alignment horizontal="center" vertical="center" wrapText="1"/>
    </xf>
    <xf numFmtId="177" fontId="5" fillId="5" borderId="5" xfId="0" applyNumberFormat="1" applyFont="1" applyFill="1" applyBorder="1" applyAlignment="1">
      <alignment horizontal="center" vertical="center" wrapText="1"/>
    </xf>
    <xf numFmtId="40" fontId="5" fillId="5" borderId="2" xfId="1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top"/>
    </xf>
    <xf numFmtId="0" fontId="5" fillId="0" borderId="7" xfId="0" applyFont="1" applyFill="1" applyBorder="1" applyAlignment="1">
      <alignment horizontal="left" vertical="top"/>
    </xf>
    <xf numFmtId="0" fontId="5" fillId="0" borderId="7" xfId="0" applyFont="1" applyFill="1" applyBorder="1" applyAlignment="1">
      <alignment vertical="top"/>
    </xf>
    <xf numFmtId="0" fontId="5" fillId="0" borderId="7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left" vertical="top"/>
    </xf>
    <xf numFmtId="0" fontId="5" fillId="0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/>
    </xf>
    <xf numFmtId="0" fontId="5" fillId="0" borderId="11" xfId="0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left" vertical="center"/>
    </xf>
    <xf numFmtId="0" fontId="5" fillId="0" borderId="13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left" vertical="top"/>
    </xf>
    <xf numFmtId="0" fontId="5" fillId="0" borderId="13" xfId="0" applyFont="1" applyFill="1" applyBorder="1" applyAlignment="1">
      <alignment horizontal="left" vertical="top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right" vertical="center" wrapText="1"/>
    </xf>
    <xf numFmtId="0" fontId="7" fillId="0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9" fillId="2" borderId="0" xfId="49" applyFont="1" applyFill="1" applyAlignment="1">
      <alignment horizontal="left" vertical="center"/>
    </xf>
    <xf numFmtId="0" fontId="8" fillId="2" borderId="0" xfId="49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49" applyFont="1" applyFill="1" applyAlignment="1">
      <alignment horizontal="left" vertical="center"/>
    </xf>
    <xf numFmtId="0" fontId="9" fillId="0" borderId="0" xfId="49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49" fontId="7" fillId="0" borderId="0" xfId="0" applyNumberFormat="1" applyFont="1" applyFill="1" applyAlignment="1">
      <alignment horizontal="left" vertical="center"/>
    </xf>
    <xf numFmtId="0" fontId="10" fillId="0" borderId="0" xfId="6" applyFont="1" applyAlignment="1">
      <alignment horizontal="left" vertical="center"/>
    </xf>
    <xf numFmtId="0" fontId="10" fillId="0" borderId="0" xfId="6" applyFont="1">
      <alignment vertical="center"/>
    </xf>
    <xf numFmtId="0" fontId="7" fillId="0" borderId="0" xfId="0" applyFont="1" applyAlignment="1">
      <alignment horizontal="left" vertical="center" wrapText="1"/>
    </xf>
    <xf numFmtId="0" fontId="11" fillId="0" borderId="0" xfId="6" applyFont="1">
      <alignment vertical="center"/>
    </xf>
    <xf numFmtId="49" fontId="7" fillId="0" borderId="0" xfId="0" applyNumberFormat="1" applyFont="1" applyAlignment="1">
      <alignment horizontal="left" vertical="center" wrapText="1"/>
    </xf>
    <xf numFmtId="0" fontId="12" fillId="0" borderId="0" xfId="6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3" fillId="0" borderId="0" xfId="6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6" borderId="0" xfId="49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2" fillId="2" borderId="1" xfId="49" applyNumberFormat="1" applyFont="1" applyFill="1" applyBorder="1" applyAlignment="1">
      <alignment horizontal="center" vertical="center"/>
    </xf>
    <xf numFmtId="176" fontId="4" fillId="2" borderId="1" xfId="49" applyNumberFormat="1" applyFont="1" applyFill="1" applyBorder="1" applyAlignment="1">
      <alignment horizontal="center" vertical="center"/>
    </xf>
    <xf numFmtId="44" fontId="4" fillId="7" borderId="1" xfId="49" applyNumberFormat="1" applyFont="1" applyFill="1" applyBorder="1" applyAlignment="1">
      <alignment horizontal="center" vertical="center"/>
    </xf>
    <xf numFmtId="44" fontId="4" fillId="7" borderId="14" xfId="49" applyNumberFormat="1" applyFont="1" applyFill="1" applyBorder="1" applyAlignment="1">
      <alignment horizontal="center" vertical="center"/>
    </xf>
    <xf numFmtId="176" fontId="4" fillId="7" borderId="1" xfId="49" applyNumberFormat="1" applyFont="1" applyFill="1" applyBorder="1" applyAlignment="1">
      <alignment horizontal="center" vertical="center"/>
    </xf>
    <xf numFmtId="0" fontId="7" fillId="0" borderId="0" xfId="0" applyFont="1" applyFill="1" applyAlignment="1" quotePrefix="1">
      <alignment horizontal="left" vertical="center"/>
    </xf>
    <xf numFmtId="49" fontId="7" fillId="0" borderId="0" xfId="0" applyNumberFormat="1" applyFont="1" applyAlignment="1" quotePrefix="1">
      <alignment horizontal="left" vertical="center"/>
    </xf>
    <xf numFmtId="0" fontId="7" fillId="0" borderId="0" xfId="0" applyFont="1" applyAlignment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着色 1 2" xfId="49"/>
  </cellStyles>
  <tableStyles count="0" defaultTableStyle="TableStyleMedium2" defaultPivotStyle="PivotStyleLight16"/>
  <colors>
    <mruColors>
      <color rgb="00F7FD9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petra.goeschel-tabatabaei@scherdel.com" TargetMode="External"/><Relationship Id="rId8" Type="http://schemas.openxmlformats.org/officeDocument/2006/relationships/hyperlink" Target="mailto:Kromka.Dawid@weber-group.com" TargetMode="External"/><Relationship Id="rId7" Type="http://schemas.openxmlformats.org/officeDocument/2006/relationships/hyperlink" Target="mailto:sales@pmmoil.de" TargetMode="External"/><Relationship Id="rId6" Type="http://schemas.openxmlformats.org/officeDocument/2006/relationships/hyperlink" Target="mailto:veronica.livigni@cultraro.it" TargetMode="External"/><Relationship Id="rId5" Type="http://schemas.openxmlformats.org/officeDocument/2006/relationships/hyperlink" Target="mailto:S-Kariegus@straehle-hess.de" TargetMode="External"/><Relationship Id="rId4" Type="http://schemas.openxmlformats.org/officeDocument/2006/relationships/hyperlink" Target="mailto:MARIE.WINLING@SONCEBOZ.COM" TargetMode="External"/><Relationship Id="rId3" Type="http://schemas.openxmlformats.org/officeDocument/2006/relationships/hyperlink" Target="mailto:Sun.Yuqi@weber-group.com" TargetMode="External"/><Relationship Id="rId2" Type="http://schemas.openxmlformats.org/officeDocument/2006/relationships/hyperlink" Target="mailto:Dou.baojun@weber-group.com" TargetMode="External"/><Relationship Id="rId11" Type="http://schemas.openxmlformats.org/officeDocument/2006/relationships/hyperlink" Target="mailto:abholanmeldung-ho114@isowa.de" TargetMode="External"/><Relationship Id="rId10" Type="http://schemas.openxmlformats.org/officeDocument/2006/relationships/hyperlink" Target="mailto:Huebscher.Michael@Weber-Group.com" TargetMode="External"/><Relationship Id="rId1" Type="http://schemas.openxmlformats.org/officeDocument/2006/relationships/hyperlink" Target="mailto:o-galbavy@straehle-hes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6"/>
  <sheetViews>
    <sheetView workbookViewId="0">
      <selection activeCell="A19" sqref="A19"/>
    </sheetView>
  </sheetViews>
  <sheetFormatPr defaultColWidth="9" defaultRowHeight="14.1"/>
  <cols>
    <col min="1" max="1" width="30.6216216216216" customWidth="1"/>
    <col min="2" max="2" width="19.1261261261261" customWidth="1"/>
    <col min="3" max="3" width="12.8738738738739" customWidth="1"/>
    <col min="4" max="4" width="12" customWidth="1"/>
    <col min="5" max="5" width="16.1261261261261" customWidth="1"/>
    <col min="6" max="6" width="17" customWidth="1"/>
    <col min="7" max="7" width="12" customWidth="1"/>
    <col min="8" max="8" width="17.1261261261261" customWidth="1"/>
    <col min="9" max="9" width="30.6216216216216" customWidth="1"/>
    <col min="10" max="10" width="8.87387387387387" customWidth="1"/>
    <col min="11" max="11" width="12.8738738738739" customWidth="1"/>
    <col min="12" max="12" width="10.8738738738739" customWidth="1"/>
    <col min="13" max="14" width="7" customWidth="1"/>
    <col min="15" max="15" width="8.87387387387387" customWidth="1"/>
    <col min="16" max="16" width="9.66666666666667" customWidth="1"/>
    <col min="17" max="17" width="20.8918918918919" customWidth="1"/>
    <col min="18" max="18" width="14.3333333333333" customWidth="1"/>
    <col min="19" max="19" width="10.8738738738739" customWidth="1"/>
    <col min="20" max="20" width="5.66666666666667" customWidth="1"/>
    <col min="21" max="21" width="10.2252252252252" customWidth="1"/>
    <col min="22" max="27" width="9.66666666666667" customWidth="1"/>
  </cols>
  <sheetData>
    <row r="1" spans="1:30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ht="16.25" spans="1:30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5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AD2" s="84" t="s">
        <v>15</v>
      </c>
    </row>
    <row r="3" ht="16.25" spans="1:30">
      <c r="C3" s="4">
        <v>45954</v>
      </c>
      <c r="D3" s="5" t="s">
        <v>16</v>
      </c>
      <c r="E3" s="5"/>
      <c r="F3" s="5"/>
      <c r="G3" s="5"/>
      <c r="H3" s="5"/>
      <c r="I3" s="5"/>
      <c r="J3" s="5"/>
      <c r="K3" s="5"/>
      <c r="L3" s="5"/>
      <c r="M3" s="5" t="s">
        <v>17</v>
      </c>
      <c r="N3" s="5" t="s">
        <v>18</v>
      </c>
      <c r="O3" s="5"/>
    </row>
    <row r="7" spans="1:30">
      <c r="G7" s="85"/>
    </row>
    <row r="8" spans="1:30">
      <c r="A8" s="82" t="s">
        <v>19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</row>
    <row r="9" ht="16.25" spans="1:30">
      <c r="A9" s="2" t="s">
        <v>20</v>
      </c>
      <c r="B9" s="2" t="s">
        <v>21</v>
      </c>
      <c r="C9" s="2" t="s">
        <v>22</v>
      </c>
      <c r="D9" s="3" t="s">
        <v>23</v>
      </c>
      <c r="E9" s="3" t="s">
        <v>24</v>
      </c>
      <c r="F9" s="3" t="s">
        <v>25</v>
      </c>
      <c r="G9" s="3" t="s">
        <v>26</v>
      </c>
      <c r="H9" s="3" t="s">
        <v>27</v>
      </c>
      <c r="I9" s="3" t="s">
        <v>28</v>
      </c>
      <c r="J9" s="3" t="s">
        <v>29</v>
      </c>
      <c r="K9" s="3" t="s">
        <v>30</v>
      </c>
      <c r="L9" s="3" t="s">
        <v>31</v>
      </c>
      <c r="M9" s="3" t="s">
        <v>32</v>
      </c>
      <c r="N9" s="3" t="s">
        <v>33</v>
      </c>
      <c r="O9" s="3"/>
      <c r="AD9" s="84"/>
    </row>
    <row r="10" ht="16.25" spans="1:30">
      <c r="A10" s="5"/>
      <c r="B10" s="5" t="s">
        <v>34</v>
      </c>
      <c r="C10" s="5">
        <v>8415901000</v>
      </c>
      <c r="D10" s="5">
        <v>1</v>
      </c>
      <c r="E10" s="5">
        <v>48</v>
      </c>
      <c r="F10" s="86">
        <f>1.2*0.78*0.84</f>
        <v>0.78624</v>
      </c>
      <c r="G10" s="5">
        <v>141</v>
      </c>
      <c r="H10" s="5"/>
      <c r="I10" s="5"/>
      <c r="J10" s="5" t="s">
        <v>35</v>
      </c>
      <c r="K10" s="5" t="s">
        <v>36</v>
      </c>
      <c r="L10" s="5"/>
    </row>
    <row r="11" ht="16.25" spans="1:30">
      <c r="A11" s="5"/>
      <c r="B11" s="5"/>
      <c r="C11" s="5"/>
      <c r="D11" s="5"/>
      <c r="E11" s="5"/>
      <c r="F11" s="86"/>
      <c r="G11" s="5"/>
      <c r="H11" s="5"/>
      <c r="I11" s="5"/>
      <c r="J11" s="5"/>
      <c r="K11" s="5"/>
      <c r="L11" s="5"/>
    </row>
    <row r="12" ht="16.25" spans="1:30">
      <c r="A12" s="5"/>
      <c r="B12" s="5"/>
      <c r="C12" s="5"/>
      <c r="D12" s="5"/>
      <c r="E12" s="5"/>
      <c r="F12" s="86"/>
      <c r="G12" s="5"/>
      <c r="H12" s="5"/>
      <c r="I12" s="5"/>
      <c r="J12" s="5"/>
      <c r="K12" s="5"/>
      <c r="L12" s="5"/>
    </row>
    <row r="13" ht="16.25" spans="1:30">
      <c r="A13" s="5"/>
      <c r="B13" s="5"/>
      <c r="C13" s="5"/>
      <c r="D13" s="5"/>
      <c r="E13" s="5"/>
      <c r="F13" s="86"/>
      <c r="G13" s="5"/>
      <c r="H13" s="5"/>
      <c r="I13" s="5"/>
      <c r="J13" s="5"/>
      <c r="K13" s="5"/>
      <c r="L13" s="5"/>
    </row>
    <row r="14" ht="16.25" spans="1:30">
      <c r="A14" s="5" t="s">
        <v>37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customFormat="1" ht="16.25" spans="1:30">
      <c r="A15" s="2"/>
      <c r="B15" s="2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AD15" s="84"/>
    </row>
    <row r="20" spans="1:30">
      <c r="A20" s="83" t="s">
        <v>38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</row>
    <row r="21" ht="16.25" spans="1:30">
      <c r="A21" s="2" t="s">
        <v>39</v>
      </c>
      <c r="B21" s="2" t="s">
        <v>40</v>
      </c>
      <c r="C21" s="2" t="s">
        <v>41</v>
      </c>
      <c r="D21" s="3" t="s">
        <v>42</v>
      </c>
      <c r="E21" s="3" t="s">
        <v>43</v>
      </c>
      <c r="F21" s="3" t="s">
        <v>44</v>
      </c>
      <c r="G21" s="3" t="s">
        <v>45</v>
      </c>
      <c r="H21" s="3" t="s">
        <v>46</v>
      </c>
      <c r="I21" s="3" t="s">
        <v>47</v>
      </c>
      <c r="J21" s="3" t="s">
        <v>48</v>
      </c>
      <c r="K21" s="3" t="s">
        <v>49</v>
      </c>
      <c r="L21" s="3" t="s">
        <v>50</v>
      </c>
      <c r="M21" s="3" t="s">
        <v>32</v>
      </c>
      <c r="N21" s="3" t="s">
        <v>33</v>
      </c>
      <c r="O21" s="3" t="s">
        <v>15</v>
      </c>
      <c r="AD21" s="84"/>
    </row>
    <row r="29" spans="1:30">
      <c r="A29" s="87" t="s">
        <v>51</v>
      </c>
      <c r="B29" s="88"/>
      <c r="C29" s="88"/>
      <c r="D29" s="88"/>
      <c r="F29" s="87" t="s">
        <v>52</v>
      </c>
      <c r="G29" s="88"/>
      <c r="H29" s="88"/>
      <c r="I29" s="88"/>
    </row>
    <row r="30" ht="16.25" spans="1:30">
      <c r="A30" s="8"/>
      <c r="B30" s="89" t="s">
        <v>53</v>
      </c>
      <c r="C30" s="8"/>
      <c r="D30" s="89" t="s">
        <v>54</v>
      </c>
      <c r="F30" s="8"/>
      <c r="G30" s="90" t="s">
        <v>55</v>
      </c>
      <c r="H30" s="8"/>
      <c r="I30" s="89" t="s">
        <v>54</v>
      </c>
    </row>
    <row r="31" ht="16.25" spans="1:30">
      <c r="A31" s="89" t="s">
        <v>56</v>
      </c>
      <c r="B31" s="8"/>
      <c r="C31" s="8"/>
      <c r="D31" s="8"/>
      <c r="F31" s="89" t="s">
        <v>57</v>
      </c>
      <c r="G31" s="8"/>
      <c r="H31" s="8"/>
      <c r="I31" s="8"/>
    </row>
    <row r="32" ht="16.25" spans="1:30">
      <c r="A32" s="89" t="s">
        <v>58</v>
      </c>
      <c r="B32" s="89"/>
      <c r="C32" s="8"/>
      <c r="D32" s="8"/>
      <c r="F32" s="89" t="s">
        <v>59</v>
      </c>
      <c r="G32" s="8"/>
      <c r="H32" s="8"/>
      <c r="I32" s="8"/>
    </row>
    <row r="33" ht="16.25" spans="1:9">
      <c r="A33" s="89" t="s">
        <v>60</v>
      </c>
      <c r="B33" s="8"/>
      <c r="C33" s="8"/>
      <c r="D33" s="8"/>
      <c r="F33" s="89" t="s">
        <v>61</v>
      </c>
      <c r="G33" s="8"/>
      <c r="H33" s="8"/>
      <c r="I33" s="8"/>
    </row>
    <row r="34" ht="16.25" spans="1:9">
      <c r="A34" s="89" t="s">
        <v>62</v>
      </c>
      <c r="B34" s="8"/>
      <c r="C34" s="8"/>
      <c r="D34" s="8"/>
      <c r="F34" s="89" t="s">
        <v>63</v>
      </c>
      <c r="G34" s="8"/>
      <c r="H34" s="8"/>
      <c r="I34" s="8"/>
    </row>
    <row r="35" ht="16.25" spans="1:9">
      <c r="A35" s="89" t="s">
        <v>64</v>
      </c>
      <c r="B35" s="8"/>
      <c r="C35" s="8"/>
      <c r="D35" s="8"/>
      <c r="F35" s="89" t="s">
        <v>65</v>
      </c>
      <c r="G35" s="8"/>
      <c r="H35" s="8"/>
      <c r="I35" s="8"/>
    </row>
    <row r="36" ht="16.25" spans="1:9">
      <c r="A36" s="89" t="s">
        <v>66</v>
      </c>
      <c r="B36" s="8"/>
      <c r="C36" s="8"/>
      <c r="D36" s="8"/>
      <c r="F36" s="89" t="s">
        <v>67</v>
      </c>
      <c r="G36" s="8"/>
      <c r="H36" s="8"/>
      <c r="I36" s="8"/>
    </row>
    <row r="37" ht="16.25" spans="1:9">
      <c r="A37" s="89" t="s">
        <v>57</v>
      </c>
      <c r="B37" s="8"/>
      <c r="C37" s="8"/>
      <c r="D37" s="8"/>
      <c r="F37" s="89" t="s">
        <v>68</v>
      </c>
      <c r="G37" s="8"/>
      <c r="H37" s="8"/>
      <c r="I37" s="8"/>
    </row>
    <row r="38" ht="16.25" spans="1:9">
      <c r="A38" s="89" t="s">
        <v>68</v>
      </c>
      <c r="B38" s="8"/>
      <c r="C38" s="8"/>
      <c r="D38" s="8"/>
      <c r="F38" s="90" t="s">
        <v>69</v>
      </c>
      <c r="G38" s="8"/>
      <c r="H38" s="8"/>
      <c r="I38" s="8"/>
    </row>
    <row r="39" ht="16.25" spans="1:9">
      <c r="A39" s="90" t="s">
        <v>69</v>
      </c>
      <c r="B39" s="8"/>
      <c r="C39" s="8"/>
      <c r="D39" s="8"/>
      <c r="F39" s="89"/>
      <c r="G39" s="8"/>
      <c r="H39" s="8"/>
      <c r="I39" s="8"/>
    </row>
    <row r="46" spans="1:9">
      <c r="A46" s="87" t="s">
        <v>70</v>
      </c>
      <c r="B46" s="88"/>
      <c r="C46" s="88"/>
      <c r="D46" s="88"/>
      <c r="F46" s="87" t="s">
        <v>71</v>
      </c>
      <c r="G46" s="88"/>
      <c r="H46" s="88"/>
      <c r="I46" s="88"/>
    </row>
    <row r="47" ht="16.25" spans="1:9">
      <c r="A47" s="8"/>
      <c r="B47" s="90" t="s">
        <v>55</v>
      </c>
      <c r="C47" s="8"/>
      <c r="D47" s="89" t="s">
        <v>54</v>
      </c>
      <c r="F47" s="8"/>
      <c r="G47" s="90" t="s">
        <v>55</v>
      </c>
      <c r="H47" s="8"/>
      <c r="I47" s="89" t="s">
        <v>54</v>
      </c>
    </row>
    <row r="48" ht="16.25" spans="1:9">
      <c r="A48" s="90" t="s">
        <v>72</v>
      </c>
      <c r="B48" s="8"/>
      <c r="C48" s="8"/>
      <c r="D48" s="8"/>
      <c r="F48" s="90" t="s">
        <v>72</v>
      </c>
      <c r="G48" s="8"/>
      <c r="H48" s="8"/>
      <c r="I48" s="8"/>
    </row>
    <row r="49" ht="16.25" spans="1:9">
      <c r="A49" s="90" t="s">
        <v>73</v>
      </c>
      <c r="B49" s="8"/>
      <c r="C49" s="8"/>
      <c r="D49" s="8"/>
      <c r="F49" s="91" t="s">
        <v>74</v>
      </c>
      <c r="G49" s="8"/>
      <c r="H49" s="8"/>
      <c r="I49" s="8"/>
    </row>
    <row r="50" ht="16.25" spans="1:9">
      <c r="A50" s="90" t="s">
        <v>75</v>
      </c>
      <c r="B50" s="8"/>
      <c r="C50" s="8"/>
      <c r="D50" s="8"/>
      <c r="F50" s="91" t="s">
        <v>76</v>
      </c>
      <c r="G50" s="8"/>
      <c r="H50" s="8"/>
      <c r="I50" s="8"/>
    </row>
    <row r="51" ht="16.25" spans="1:9">
      <c r="A51" s="90" t="s">
        <v>65</v>
      </c>
      <c r="B51" s="8"/>
      <c r="C51" s="8"/>
      <c r="D51" s="8"/>
      <c r="F51" s="91" t="s">
        <v>77</v>
      </c>
      <c r="G51" s="8"/>
      <c r="H51" s="8"/>
      <c r="I51" s="8"/>
    </row>
    <row r="52" ht="16.25" spans="1:9">
      <c r="A52" s="89" t="s">
        <v>68</v>
      </c>
      <c r="B52" s="8"/>
      <c r="C52" s="8"/>
      <c r="D52" s="8"/>
      <c r="F52" s="91" t="s">
        <v>78</v>
      </c>
      <c r="G52" s="8"/>
      <c r="H52" s="8"/>
      <c r="I52" s="8"/>
    </row>
    <row r="53" ht="16.25" spans="1:9">
      <c r="A53" s="90" t="s">
        <v>69</v>
      </c>
      <c r="B53" s="8"/>
      <c r="C53" s="8"/>
      <c r="D53" s="8"/>
      <c r="F53" s="92" t="s">
        <v>79</v>
      </c>
      <c r="G53" s="8"/>
      <c r="H53" s="8"/>
      <c r="I53" s="8"/>
    </row>
    <row r="54" ht="16.25" spans="1:9">
      <c r="A54" s="89"/>
      <c r="B54" s="8"/>
      <c r="C54" s="8"/>
      <c r="D54" s="8"/>
      <c r="F54" s="92" t="s">
        <v>75</v>
      </c>
      <c r="G54" s="8"/>
      <c r="H54" s="8"/>
      <c r="I54" s="8"/>
    </row>
    <row r="55" ht="16.25" spans="1:9">
      <c r="A55" s="89"/>
      <c r="B55" s="8"/>
      <c r="C55" s="8"/>
      <c r="D55" s="8"/>
      <c r="F55" s="91" t="s">
        <v>68</v>
      </c>
      <c r="G55" s="8"/>
      <c r="H55" s="8"/>
      <c r="I55" s="8"/>
    </row>
    <row r="56" ht="16.25" spans="1:9">
      <c r="A56" s="89"/>
      <c r="B56" s="8"/>
      <c r="C56" s="8"/>
      <c r="D56" s="8"/>
      <c r="F56" s="93" t="s">
        <v>69</v>
      </c>
      <c r="G56" s="8"/>
      <c r="H56" s="8"/>
      <c r="I56" s="8"/>
    </row>
  </sheetData>
  <sheetProtection formatCells="0" formatColumns="0" formatRows="0" insertRows="0" insertColumns="0" insertHyperlinks="0" deleteColumns="0" deleteRows="0" sort="0" autoFilter="0" pivotTables="0"/>
  <mergeCells count="8">
    <mergeCell ref="A1:O1"/>
    <mergeCell ref="A8:N8"/>
    <mergeCell ref="A14:O14"/>
    <mergeCell ref="A20:N20"/>
    <mergeCell ref="A29:D29"/>
    <mergeCell ref="F29:I29"/>
    <mergeCell ref="A46:D46"/>
    <mergeCell ref="F46:I4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M16"/>
  <sheetViews>
    <sheetView zoomScale="80" zoomScaleNormal="80" workbookViewId="0">
      <pane xSplit="4" ySplit="1" topLeftCell="E2" activePane="bottomRight" state="frozen"/>
      <selection/>
      <selection pane="topRight"/>
      <selection pane="bottomLeft"/>
      <selection pane="bottomRight" activeCell="F15" sqref="F15"/>
    </sheetView>
  </sheetViews>
  <sheetFormatPr defaultColWidth="9" defaultRowHeight="12.85"/>
  <cols>
    <col min="1" max="1" width="9" style="65"/>
    <col min="2" max="3" width="8.33333333333333" style="65" customWidth="1"/>
    <col min="4" max="5" width="38.4414414414414" style="65" customWidth="1"/>
    <col min="6" max="6" width="36.4414414414414" style="65" customWidth="1"/>
    <col min="7" max="7" width="9.26126126126126" style="65" customWidth="1"/>
    <col min="8" max="8" width="23.4504504504505" style="65" customWidth="1"/>
    <col min="9" max="9" width="18.7747747747748" style="66" customWidth="1"/>
    <col min="10" max="10" width="45.4414414414414" style="65" customWidth="1"/>
    <col min="11" max="11" width="23.6666666666667" style="65" customWidth="1"/>
    <col min="12" max="12" width="11.8918918918919" style="65" customWidth="1"/>
    <col min="13" max="13" width="17.5585585585586" style="65" customWidth="1"/>
    <col min="14" max="16384" width="9" style="65"/>
  </cols>
  <sheetData>
    <row r="1" spans="1:13">
      <c r="A1" s="67" t="s">
        <v>5</v>
      </c>
      <c r="B1" s="67" t="s">
        <v>80</v>
      </c>
      <c r="C1" s="68" t="s">
        <v>81</v>
      </c>
      <c r="D1" s="68" t="s">
        <v>82</v>
      </c>
      <c r="E1" s="68" t="s">
        <v>83</v>
      </c>
      <c r="F1" s="69" t="s">
        <v>84</v>
      </c>
      <c r="G1" s="65" t="s">
        <v>85</v>
      </c>
      <c r="H1" s="65" t="s">
        <v>86</v>
      </c>
      <c r="I1" s="66" t="s">
        <v>87</v>
      </c>
      <c r="J1" s="65" t="s">
        <v>88</v>
      </c>
      <c r="K1" s="65" t="s">
        <v>89</v>
      </c>
      <c r="L1" s="65" t="s">
        <v>90</v>
      </c>
      <c r="M1" s="65" t="s">
        <v>91</v>
      </c>
    </row>
    <row r="2" s="64" customFormat="1" ht="64.3" spans="1:13">
      <c r="A2" s="70" t="s">
        <v>92</v>
      </c>
      <c r="B2" s="70" t="s">
        <v>93</v>
      </c>
      <c r="C2" s="70"/>
      <c r="D2" s="71" t="s">
        <v>94</v>
      </c>
      <c r="E2" s="71"/>
      <c r="F2" s="72" t="s">
        <v>95</v>
      </c>
      <c r="G2" s="64">
        <v>112000</v>
      </c>
      <c r="H2" s="64" t="s">
        <v>96</v>
      </c>
      <c r="I2" s="73">
        <v>13125423015</v>
      </c>
      <c r="J2" s="74" t="s">
        <v>97</v>
      </c>
      <c r="K2" s="64" t="s">
        <v>98</v>
      </c>
      <c r="L2" s="64">
        <v>2112940003</v>
      </c>
      <c r="M2" s="64" t="s">
        <v>99</v>
      </c>
    </row>
    <row r="3" s="64" customFormat="1" ht="38.55" spans="1:13">
      <c r="A3" s="70" t="s">
        <v>100</v>
      </c>
      <c r="B3" s="70" t="s">
        <v>101</v>
      </c>
      <c r="C3" s="70"/>
      <c r="D3" s="71" t="s">
        <v>102</v>
      </c>
      <c r="E3" s="71"/>
      <c r="F3" s="72" t="s">
        <v>103</v>
      </c>
      <c r="G3" s="64">
        <v>215159</v>
      </c>
      <c r="H3" s="64" t="s">
        <v>104</v>
      </c>
      <c r="I3" s="73">
        <v>18501580368</v>
      </c>
      <c r="J3" s="75" t="s">
        <v>105</v>
      </c>
      <c r="K3" s="94" t="s">
        <v>106</v>
      </c>
      <c r="L3" s="64">
        <v>3205947831</v>
      </c>
    </row>
    <row r="4" s="64" customFormat="1" ht="51.45" spans="1:13">
      <c r="A4" s="70" t="s">
        <v>107</v>
      </c>
      <c r="B4" s="70" t="s">
        <v>108</v>
      </c>
      <c r="C4" s="70"/>
      <c r="D4" s="71" t="s">
        <v>109</v>
      </c>
      <c r="E4" s="71"/>
      <c r="F4" s="72" t="s">
        <v>110</v>
      </c>
      <c r="G4" s="64">
        <v>110000</v>
      </c>
      <c r="H4" s="64" t="s">
        <v>111</v>
      </c>
      <c r="I4" s="73">
        <v>14741518880</v>
      </c>
      <c r="J4" s="75"/>
      <c r="K4" s="64" t="s">
        <v>112</v>
      </c>
      <c r="M4" s="64" t="s">
        <v>113</v>
      </c>
    </row>
    <row r="5" s="64" customFormat="1" spans="1:13">
      <c r="A5" s="70" t="s">
        <v>114</v>
      </c>
      <c r="B5" s="70" t="s">
        <v>115</v>
      </c>
      <c r="C5" s="70"/>
      <c r="D5" s="71" t="s">
        <v>116</v>
      </c>
      <c r="E5" s="71"/>
      <c r="F5" s="72" t="s">
        <v>117</v>
      </c>
      <c r="H5" s="64" t="s">
        <v>118</v>
      </c>
      <c r="I5" s="73">
        <v>18516621082</v>
      </c>
      <c r="J5" s="75"/>
      <c r="K5" s="64" t="s">
        <v>112</v>
      </c>
      <c r="M5" s="64" t="s">
        <v>119</v>
      </c>
    </row>
    <row r="6" ht="25.7" spans="1:13">
      <c r="A6" s="65" t="s">
        <v>120</v>
      </c>
      <c r="B6" s="65" t="s">
        <v>18</v>
      </c>
      <c r="D6" s="65" t="s">
        <v>121</v>
      </c>
      <c r="F6" s="76" t="s">
        <v>122</v>
      </c>
      <c r="G6" s="65">
        <v>59220</v>
      </c>
      <c r="H6" s="65" t="s">
        <v>123</v>
      </c>
      <c r="I6" s="66" t="s">
        <v>124</v>
      </c>
      <c r="J6" s="77" t="s">
        <v>125</v>
      </c>
      <c r="K6" s="65" t="s">
        <v>126</v>
      </c>
      <c r="M6" s="65" t="s">
        <v>127</v>
      </c>
    </row>
    <row r="7" ht="38.55" spans="1:13">
      <c r="A7" s="65" t="s">
        <v>128</v>
      </c>
      <c r="B7" s="65" t="s">
        <v>129</v>
      </c>
      <c r="D7" s="65" t="s">
        <v>130</v>
      </c>
      <c r="F7" s="76" t="s">
        <v>131</v>
      </c>
      <c r="G7" s="65">
        <v>35683</v>
      </c>
      <c r="H7" s="76" t="s">
        <v>132</v>
      </c>
      <c r="I7" s="78" t="s">
        <v>133</v>
      </c>
      <c r="J7" s="79" t="s">
        <v>134</v>
      </c>
      <c r="M7" s="65" t="s">
        <v>135</v>
      </c>
    </row>
    <row r="8" ht="25.7" spans="1:13">
      <c r="A8" s="65" t="s">
        <v>136</v>
      </c>
      <c r="B8" s="65" t="s">
        <v>137</v>
      </c>
      <c r="D8" s="65" t="s">
        <v>138</v>
      </c>
      <c r="F8" s="76" t="s">
        <v>139</v>
      </c>
      <c r="G8" s="65">
        <v>95501</v>
      </c>
      <c r="H8" s="65" t="s">
        <v>140</v>
      </c>
      <c r="I8" s="95" t="s">
        <v>141</v>
      </c>
      <c r="J8" s="74" t="s">
        <v>142</v>
      </c>
      <c r="K8" s="65" t="s">
        <v>143</v>
      </c>
      <c r="M8" s="65" t="s">
        <v>144</v>
      </c>
    </row>
    <row r="9" ht="25.7" spans="1:13">
      <c r="A9" s="65" t="s">
        <v>145</v>
      </c>
      <c r="B9" s="65" t="s">
        <v>146</v>
      </c>
      <c r="D9" s="65" t="s">
        <v>147</v>
      </c>
      <c r="F9" s="76" t="s">
        <v>148</v>
      </c>
      <c r="G9" s="65">
        <v>2605</v>
      </c>
      <c r="H9" s="65" t="s">
        <v>149</v>
      </c>
      <c r="I9" s="66" t="s">
        <v>150</v>
      </c>
      <c r="J9" s="75" t="s">
        <v>151</v>
      </c>
      <c r="K9" s="65" t="s">
        <v>152</v>
      </c>
      <c r="M9" s="65" t="s">
        <v>153</v>
      </c>
    </row>
    <row r="10" ht="51.45" spans="1:13">
      <c r="A10" s="65" t="s">
        <v>154</v>
      </c>
      <c r="B10" s="65" t="s">
        <v>129</v>
      </c>
      <c r="D10" s="65" t="s">
        <v>155</v>
      </c>
      <c r="F10" s="76" t="s">
        <v>156</v>
      </c>
      <c r="G10" s="65">
        <v>73432</v>
      </c>
      <c r="H10" s="65" t="s">
        <v>157</v>
      </c>
      <c r="I10" s="66" t="s">
        <v>158</v>
      </c>
      <c r="J10" s="77" t="s">
        <v>159</v>
      </c>
      <c r="K10" s="65" t="s">
        <v>160</v>
      </c>
      <c r="M10" s="65" t="s">
        <v>161</v>
      </c>
    </row>
    <row r="11" ht="38.55" spans="1:13">
      <c r="A11" s="65" t="s">
        <v>162</v>
      </c>
      <c r="B11" s="65" t="s">
        <v>163</v>
      </c>
      <c r="D11" s="65" t="s">
        <v>164</v>
      </c>
      <c r="F11" s="76" t="s">
        <v>165</v>
      </c>
      <c r="G11" s="65">
        <v>10098</v>
      </c>
      <c r="H11" s="65" t="s">
        <v>166</v>
      </c>
      <c r="I11" s="66" t="s">
        <v>167</v>
      </c>
      <c r="J11" s="77" t="s">
        <v>168</v>
      </c>
      <c r="K11" s="65" t="s">
        <v>169</v>
      </c>
      <c r="M11" s="65" t="s">
        <v>170</v>
      </c>
    </row>
    <row r="12" ht="16.25" spans="1:13">
      <c r="A12" s="65" t="s">
        <v>171</v>
      </c>
      <c r="B12" s="65" t="s">
        <v>129</v>
      </c>
      <c r="D12" s="65" t="s">
        <v>172</v>
      </c>
      <c r="F12" s="65" t="s">
        <v>173</v>
      </c>
      <c r="G12" s="65">
        <v>99310</v>
      </c>
      <c r="H12" s="65" t="s">
        <v>174</v>
      </c>
      <c r="I12" s="66" t="s">
        <v>175</v>
      </c>
      <c r="J12" s="77" t="s">
        <v>176</v>
      </c>
      <c r="K12" s="65" t="s">
        <v>177</v>
      </c>
      <c r="M12" s="65" t="s">
        <v>178</v>
      </c>
    </row>
    <row r="13" ht="25.7" spans="1:13">
      <c r="A13" s="65" t="s">
        <v>179</v>
      </c>
      <c r="B13" s="65" t="s">
        <v>129</v>
      </c>
      <c r="D13" s="65" t="s">
        <v>180</v>
      </c>
      <c r="F13" s="76" t="s">
        <v>181</v>
      </c>
      <c r="G13" s="65">
        <v>95615</v>
      </c>
      <c r="H13" s="65" t="s">
        <v>182</v>
      </c>
      <c r="I13" s="66" t="s">
        <v>183</v>
      </c>
      <c r="J13" s="77" t="s">
        <v>184</v>
      </c>
      <c r="K13" s="65" t="s">
        <v>185</v>
      </c>
      <c r="M13" s="65" t="s">
        <v>186</v>
      </c>
    </row>
    <row r="14" ht="38.55" spans="1:13">
      <c r="A14" s="69" t="s">
        <v>187</v>
      </c>
      <c r="B14" s="69" t="s">
        <v>129</v>
      </c>
      <c r="C14" s="69"/>
      <c r="D14" s="69" t="s">
        <v>188</v>
      </c>
      <c r="E14" s="69"/>
      <c r="F14" s="80" t="s">
        <v>189</v>
      </c>
      <c r="G14" s="65">
        <v>57258</v>
      </c>
      <c r="H14" s="69" t="s">
        <v>190</v>
      </c>
      <c r="I14" s="66" t="s">
        <v>191</v>
      </c>
      <c r="J14" s="81" t="s">
        <v>192</v>
      </c>
      <c r="K14" s="69" t="s">
        <v>193</v>
      </c>
    </row>
    <row r="16" spans="1:13">
      <c r="H16" s="66"/>
    </row>
  </sheetData>
  <sheetProtection formatCells="0" formatColumns="0" formatRows="0" insertRows="0" insertColumns="0" insertHyperlinks="0" deleteColumns="0" deleteRows="0" sort="0" autoFilter="0" pivotTables="0"/>
  <hyperlinks>
    <hyperlink ref="J8" r:id="rId1" display="o-galbavy@straehle-hess.com"/>
    <hyperlink ref="J2" r:id="rId2" display="Dou.baojun@weber-group.com" tooltip="mailto:Dou.baojun@weber-group.com"/>
    <hyperlink ref="J3" r:id="rId3" display="Sun.Yuqi@weber-group.com"/>
    <hyperlink ref="J9" r:id="rId4" display="MARIE.WINLING@SONCEBOZ.COM"/>
    <hyperlink ref="J10" r:id="rId5" display="S-Kariegus@straehle-hess.de"/>
    <hyperlink ref="J11" r:id="rId6" display="veronica.livigni@cultraro.it" tooltip="mailto:veronica.livigni@cultraro.it"/>
    <hyperlink ref="J12" r:id="rId7" display="sales@pmmoil.de"/>
    <hyperlink ref="J6" r:id="rId8" display="Kromka.Dawid@weber-group.com"/>
    <hyperlink ref="J13" r:id="rId9" display="petra.goeschel-tabatabaei@scherdel.com"/>
    <hyperlink ref="J7" r:id="rId10" display="Huebscher.Michael@Weber-Group.com&#10;Christ.Frank-Peter@weber-group.com"/>
    <hyperlink ref="J14" r:id="rId11" display="abholanmeldung-ho114@isowa.de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Q14"/>
  <sheetViews>
    <sheetView zoomScale="80" zoomScaleNormal="80" topLeftCell="C1" workbookViewId="0">
      <selection activeCell="F6" sqref="F6"/>
    </sheetView>
  </sheetViews>
  <sheetFormatPr defaultColWidth="8.89189189189189" defaultRowHeight="12.85"/>
  <cols>
    <col min="1" max="1" width="8.89189189189189" style="61"/>
    <col min="2" max="2" width="35.1081081081081" style="61" customWidth="1"/>
    <col min="3" max="3" width="21.2252252252252" style="61" customWidth="1"/>
    <col min="4" max="4" width="12.8918918918919" style="61"/>
    <col min="5" max="5" width="56.5585585585586" style="61" customWidth="1"/>
    <col min="6" max="6" width="8.89189189189189" style="61"/>
    <col min="7" max="7" width="18" style="61" customWidth="1"/>
    <col min="8" max="16384" width="8.89189189189189" style="61"/>
  </cols>
  <sheetData>
    <row r="1" s="61" customFormat="1" ht="32.55" spans="1:17">
      <c r="A1" s="61" t="s">
        <v>20</v>
      </c>
      <c r="B1" s="61" t="s">
        <v>194</v>
      </c>
      <c r="C1" s="61" t="s">
        <v>21</v>
      </c>
      <c r="D1" s="61" t="s">
        <v>195</v>
      </c>
      <c r="E1" s="61" t="s">
        <v>196</v>
      </c>
      <c r="F1" s="61" t="s">
        <v>197</v>
      </c>
      <c r="G1" s="61" t="s">
        <v>91</v>
      </c>
      <c r="H1" s="9" t="s">
        <v>198</v>
      </c>
      <c r="I1" s="9" t="s">
        <v>199</v>
      </c>
      <c r="J1" s="9" t="s">
        <v>200</v>
      </c>
      <c r="K1" s="9" t="s">
        <v>201</v>
      </c>
      <c r="L1" s="9" t="s">
        <v>202</v>
      </c>
      <c r="M1" s="9" t="s">
        <v>203</v>
      </c>
      <c r="N1" s="10" t="s">
        <v>204</v>
      </c>
      <c r="O1" s="10" t="s">
        <v>205</v>
      </c>
      <c r="P1" s="10" t="s">
        <v>206</v>
      </c>
      <c r="Q1" s="11" t="s">
        <v>207</v>
      </c>
    </row>
    <row r="2" ht="51.45" spans="1:17">
      <c r="A2" s="96" t="s">
        <v>208</v>
      </c>
      <c r="B2" s="61" t="s">
        <v>209</v>
      </c>
      <c r="C2" s="61" t="s">
        <v>210</v>
      </c>
      <c r="D2" s="61">
        <v>8415901000</v>
      </c>
      <c r="E2" s="62" t="s">
        <v>211</v>
      </c>
      <c r="F2" s="61" t="s">
        <v>212</v>
      </c>
      <c r="G2" s="61" t="s">
        <v>213</v>
      </c>
    </row>
    <row r="3" ht="102.85" spans="1:17">
      <c r="A3" s="96" t="s">
        <v>214</v>
      </c>
      <c r="B3" s="61" t="s">
        <v>215</v>
      </c>
      <c r="C3" s="61" t="s">
        <v>216</v>
      </c>
      <c r="D3" s="61">
        <v>8708299000</v>
      </c>
      <c r="E3" s="62" t="s">
        <v>217</v>
      </c>
      <c r="F3" s="61" t="s">
        <v>212</v>
      </c>
      <c r="G3" s="61" t="s">
        <v>213</v>
      </c>
    </row>
    <row r="4" ht="25.7" spans="1:17">
      <c r="A4" s="96" t="s">
        <v>218</v>
      </c>
      <c r="B4" s="61" t="s">
        <v>219</v>
      </c>
      <c r="C4" s="61" t="s">
        <v>220</v>
      </c>
      <c r="D4" s="61">
        <v>6003300000</v>
      </c>
      <c r="E4" s="62" t="s">
        <v>221</v>
      </c>
      <c r="F4" s="61" t="s">
        <v>137</v>
      </c>
    </row>
    <row r="5" ht="51.45" spans="1:17">
      <c r="A5" s="96" t="s">
        <v>222</v>
      </c>
      <c r="B5" s="61" t="s">
        <v>223</v>
      </c>
      <c r="C5" s="61" t="s">
        <v>170</v>
      </c>
      <c r="D5" s="61">
        <v>8479899990</v>
      </c>
      <c r="E5" s="62" t="s">
        <v>224</v>
      </c>
      <c r="F5" s="61" t="s">
        <v>163</v>
      </c>
    </row>
    <row r="6" ht="64.3" spans="1:17">
      <c r="A6" s="96" t="s">
        <v>225</v>
      </c>
      <c r="B6" s="61" t="s">
        <v>226</v>
      </c>
      <c r="C6" s="61" t="s">
        <v>153</v>
      </c>
      <c r="D6" s="61">
        <v>8501109990</v>
      </c>
      <c r="E6" s="62" t="s">
        <v>227</v>
      </c>
      <c r="F6" s="61" t="s">
        <v>146</v>
      </c>
      <c r="G6" s="61" t="s">
        <v>228</v>
      </c>
    </row>
    <row r="7" ht="64.3" spans="1:17">
      <c r="A7" s="96" t="s">
        <v>229</v>
      </c>
      <c r="B7" s="61" t="s">
        <v>230</v>
      </c>
      <c r="C7" s="61" t="s">
        <v>231</v>
      </c>
      <c r="D7" s="61">
        <v>6006330000</v>
      </c>
      <c r="E7" s="62" t="s">
        <v>232</v>
      </c>
      <c r="F7" s="61" t="s">
        <v>129</v>
      </c>
      <c r="G7" s="61" t="s">
        <v>233</v>
      </c>
    </row>
    <row r="8" ht="115.7" spans="1:17">
      <c r="A8" s="96" t="s">
        <v>234</v>
      </c>
      <c r="B8" s="61" t="s">
        <v>235</v>
      </c>
      <c r="C8" s="61" t="s">
        <v>236</v>
      </c>
      <c r="D8" s="61">
        <v>3403990000</v>
      </c>
      <c r="E8" s="62" t="s">
        <v>237</v>
      </c>
      <c r="F8" s="61" t="s">
        <v>129</v>
      </c>
      <c r="G8" s="61" t="s">
        <v>238</v>
      </c>
    </row>
    <row r="9" ht="38.55" spans="1:17">
      <c r="A9" s="96" t="s">
        <v>239</v>
      </c>
      <c r="B9" s="61" t="s">
        <v>240</v>
      </c>
      <c r="C9" s="61" t="s">
        <v>241</v>
      </c>
      <c r="D9" s="61">
        <v>8504401400</v>
      </c>
      <c r="E9" s="62" t="s">
        <v>242</v>
      </c>
      <c r="F9" s="61" t="s">
        <v>129</v>
      </c>
      <c r="G9" s="61" t="s">
        <v>243</v>
      </c>
    </row>
    <row r="10" ht="38.55" spans="1:17">
      <c r="A10" s="96" t="s">
        <v>244</v>
      </c>
      <c r="B10" s="61" t="s">
        <v>245</v>
      </c>
      <c r="C10" s="61" t="s">
        <v>246</v>
      </c>
      <c r="D10" s="61">
        <v>8708299000</v>
      </c>
      <c r="E10" s="62" t="s">
        <v>247</v>
      </c>
      <c r="F10" s="61" t="s">
        <v>18</v>
      </c>
    </row>
    <row r="11" spans="1:17">
      <c r="A11" s="96" t="s">
        <v>248</v>
      </c>
      <c r="B11" s="61" t="s">
        <v>249</v>
      </c>
      <c r="C11" s="61" t="s">
        <v>250</v>
      </c>
      <c r="D11" s="61">
        <v>7318160000</v>
      </c>
      <c r="E11" s="61" t="s">
        <v>251</v>
      </c>
      <c r="F11" s="61" t="s">
        <v>18</v>
      </c>
    </row>
    <row r="12" ht="51.45" spans="1:17">
      <c r="A12" s="96" t="s">
        <v>252</v>
      </c>
      <c r="B12" s="61" t="s">
        <v>253</v>
      </c>
      <c r="C12" s="61" t="s">
        <v>254</v>
      </c>
      <c r="D12" s="63" t="s">
        <v>255</v>
      </c>
      <c r="E12" s="62" t="s">
        <v>256</v>
      </c>
      <c r="F12" s="61" t="s">
        <v>18</v>
      </c>
    </row>
    <row r="13" ht="25.7" spans="1:17">
      <c r="A13" s="96" t="s">
        <v>257</v>
      </c>
      <c r="B13" s="61" t="s">
        <v>258</v>
      </c>
      <c r="C13" s="61" t="s">
        <v>186</v>
      </c>
      <c r="D13" s="61">
        <v>7616100000</v>
      </c>
      <c r="E13" s="62" t="s">
        <v>259</v>
      </c>
      <c r="F13" s="61" t="s">
        <v>129</v>
      </c>
    </row>
    <row r="14" ht="51.45" spans="1:17">
      <c r="A14" s="96" t="s">
        <v>260</v>
      </c>
      <c r="B14" s="61" t="s">
        <v>261</v>
      </c>
      <c r="C14" s="61" t="s">
        <v>262</v>
      </c>
      <c r="D14" s="61">
        <v>8708299000</v>
      </c>
      <c r="E14" s="62" t="s">
        <v>263</v>
      </c>
      <c r="F14" s="61" t="s">
        <v>212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D5" sqref="D5"/>
    </sheetView>
  </sheetViews>
  <sheetFormatPr defaultColWidth="9" defaultRowHeight="14.1" outlineLevelCol="3"/>
  <sheetData>
    <row r="1" spans="1:4">
      <c r="A1" t="s">
        <v>264</v>
      </c>
      <c r="B1" s="1" t="s">
        <v>265</v>
      </c>
      <c r="C1" s="1" t="s">
        <v>27</v>
      </c>
      <c r="D1" s="1" t="s">
        <v>25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N23"/>
  <sheetViews>
    <sheetView topLeftCell="A16" workbookViewId="0">
      <selection activeCell="A14" sqref="A14:N14"/>
    </sheetView>
  </sheetViews>
  <sheetFormatPr defaultColWidth="10" defaultRowHeight="16.25"/>
  <cols>
    <col min="1" max="1" width="9.89189189189189" style="15" customWidth="1"/>
    <col min="2" max="2" width="16.6666666666667" style="15" customWidth="1"/>
    <col min="3" max="3" width="16.5585585585586" style="15" customWidth="1"/>
    <col min="4" max="4" width="14.6666666666667" style="15" customWidth="1"/>
    <col min="5" max="5" width="18" style="15" customWidth="1"/>
    <col min="6" max="6" width="14.3333333333333" style="15" customWidth="1"/>
    <col min="7" max="7" width="9.66666666666667" style="15" customWidth="1"/>
    <col min="8" max="9" width="13.2252252252252" style="15"/>
    <col min="10" max="11" width="8.77477477477477" style="15" customWidth="1"/>
    <col min="12" max="12" width="12.3333333333333" style="15" customWidth="1"/>
    <col min="13" max="13" width="10" style="15" customWidth="1"/>
    <col min="14" max="14" width="6.33333333333333" style="15" customWidth="1"/>
    <col min="15" max="16384" width="10" style="15"/>
  </cols>
  <sheetData>
    <row r="1" s="15" customFormat="1" ht="27.75" customHeight="1" spans="1:14">
      <c r="A1" s="17" t="s">
        <v>266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="15" customFormat="1" ht="18" customHeight="1" spans="1:14">
      <c r="A2" s="16" t="s">
        <v>267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="15" customFormat="1" ht="18" customHeight="1" spans="1:14">
      <c r="A3" s="18" t="s">
        <v>268</v>
      </c>
      <c r="B3" s="18"/>
      <c r="C3" s="18"/>
      <c r="D3" s="18" t="s">
        <v>269</v>
      </c>
      <c r="E3" s="18"/>
      <c r="F3" s="18" t="s">
        <v>270</v>
      </c>
      <c r="G3" s="18"/>
      <c r="H3" s="18"/>
      <c r="I3" s="18" t="s">
        <v>271</v>
      </c>
      <c r="J3" s="18"/>
      <c r="K3" s="19" t="s">
        <v>272</v>
      </c>
      <c r="L3" s="20"/>
      <c r="M3" s="20"/>
      <c r="N3" s="21"/>
    </row>
    <row r="4" s="15" customFormat="1" ht="18" customHeight="1" spans="1:14">
      <c r="A4" s="18" t="s">
        <v>273</v>
      </c>
      <c r="B4" s="18"/>
      <c r="C4" s="18"/>
      <c r="D4" s="18"/>
      <c r="E4" s="18"/>
      <c r="F4" s="22">
        <v>45979</v>
      </c>
      <c r="G4" s="23"/>
      <c r="H4" s="23"/>
      <c r="I4" s="18"/>
      <c r="J4" s="18"/>
      <c r="K4" s="24"/>
      <c r="L4" s="24"/>
      <c r="M4" s="24"/>
      <c r="N4" s="24"/>
    </row>
    <row r="5" s="15" customFormat="1" ht="18" customHeight="1" spans="1:14">
      <c r="A5" s="18" t="s">
        <v>274</v>
      </c>
      <c r="B5" s="18"/>
      <c r="C5" s="18"/>
      <c r="D5" s="18" t="s">
        <v>39</v>
      </c>
      <c r="E5" s="18"/>
      <c r="F5" s="18" t="s">
        <v>275</v>
      </c>
      <c r="G5" s="18"/>
      <c r="H5" s="18"/>
      <c r="I5" s="18" t="s">
        <v>276</v>
      </c>
      <c r="J5" s="18"/>
      <c r="K5" s="18"/>
      <c r="L5" s="18"/>
      <c r="M5" s="18"/>
      <c r="N5" s="18"/>
    </row>
    <row r="6" s="15" customFormat="1" ht="18" customHeight="1" spans="1:14">
      <c r="A6" s="23" t="s">
        <v>277</v>
      </c>
      <c r="B6" s="23"/>
      <c r="C6" s="23"/>
      <c r="D6" s="23" t="s">
        <v>278</v>
      </c>
      <c r="E6" s="23"/>
      <c r="F6" s="18"/>
      <c r="G6" s="18"/>
      <c r="H6" s="18"/>
      <c r="I6" s="18"/>
      <c r="J6" s="18"/>
      <c r="K6" s="18"/>
      <c r="L6" s="18"/>
      <c r="M6" s="18"/>
      <c r="N6" s="18"/>
    </row>
    <row r="7" s="15" customFormat="1" ht="18" customHeight="1" spans="1:14">
      <c r="A7" s="18" t="s">
        <v>279</v>
      </c>
      <c r="B7" s="18"/>
      <c r="C7" s="18"/>
      <c r="D7" s="18" t="s">
        <v>198</v>
      </c>
      <c r="E7" s="18"/>
      <c r="F7" s="18" t="s">
        <v>199</v>
      </c>
      <c r="G7" s="18"/>
      <c r="H7" s="18"/>
      <c r="I7" s="18" t="s">
        <v>280</v>
      </c>
      <c r="J7" s="18"/>
      <c r="K7" s="18"/>
      <c r="L7" s="18"/>
      <c r="M7" s="18"/>
      <c r="N7" s="18"/>
    </row>
    <row r="8" s="15" customFormat="1" ht="18" customHeight="1" spans="1:14">
      <c r="A8" s="18" t="s">
        <v>273</v>
      </c>
      <c r="B8" s="18"/>
      <c r="C8" s="18"/>
      <c r="D8" s="23" t="s">
        <v>281</v>
      </c>
      <c r="E8" s="23"/>
      <c r="F8" s="23" t="s">
        <v>282</v>
      </c>
      <c r="G8" s="23"/>
      <c r="H8" s="23"/>
      <c r="I8" s="24"/>
      <c r="J8" s="24"/>
      <c r="K8" s="24"/>
      <c r="L8" s="24"/>
      <c r="M8" s="24"/>
      <c r="N8" s="24"/>
    </row>
    <row r="9" s="15" customFormat="1" ht="18" customHeight="1" spans="1:14">
      <c r="A9" s="18" t="s">
        <v>283</v>
      </c>
      <c r="B9" s="18"/>
      <c r="C9" s="18"/>
      <c r="D9" s="18" t="s">
        <v>200</v>
      </c>
      <c r="E9" s="18"/>
      <c r="F9" s="18" t="s">
        <v>201</v>
      </c>
      <c r="G9" s="18"/>
      <c r="H9" s="18"/>
      <c r="I9" s="18" t="s">
        <v>202</v>
      </c>
      <c r="J9" s="18"/>
      <c r="K9" s="18"/>
      <c r="L9" s="18" t="s">
        <v>284</v>
      </c>
      <c r="M9" s="18"/>
      <c r="N9" s="18"/>
    </row>
    <row r="10" s="15" customFormat="1" ht="18" customHeight="1" spans="1:14">
      <c r="A10" s="18" t="s">
        <v>285</v>
      </c>
      <c r="B10" s="18"/>
      <c r="C10" s="18"/>
      <c r="D10" s="23" t="s">
        <v>18</v>
      </c>
      <c r="E10" s="23"/>
      <c r="F10" s="23" t="s">
        <v>18</v>
      </c>
      <c r="G10" s="23"/>
      <c r="H10" s="23"/>
      <c r="I10" s="23" t="s">
        <v>18</v>
      </c>
      <c r="J10" s="23"/>
      <c r="K10" s="23"/>
      <c r="L10" s="18" t="s">
        <v>282</v>
      </c>
      <c r="M10" s="18"/>
      <c r="N10" s="18"/>
    </row>
    <row r="11" s="15" customFormat="1" ht="18" customHeight="1" spans="1:14">
      <c r="A11" s="18" t="s">
        <v>286</v>
      </c>
      <c r="B11" s="18"/>
      <c r="C11" s="18"/>
      <c r="D11" s="18" t="s">
        <v>23</v>
      </c>
      <c r="E11" s="18" t="s">
        <v>287</v>
      </c>
      <c r="F11" s="18" t="s">
        <v>288</v>
      </c>
      <c r="G11" s="19" t="s">
        <v>203</v>
      </c>
      <c r="H11" s="21"/>
      <c r="I11" s="18" t="s">
        <v>289</v>
      </c>
      <c r="J11" s="18"/>
      <c r="K11" s="19" t="s">
        <v>290</v>
      </c>
      <c r="L11" s="21"/>
      <c r="M11" s="19" t="s">
        <v>291</v>
      </c>
      <c r="N11" s="21"/>
    </row>
    <row r="12" s="15" customFormat="1" ht="22.5" customHeight="1" spans="1:14">
      <c r="A12" s="23" t="s">
        <v>292</v>
      </c>
      <c r="B12" s="23"/>
      <c r="C12" s="23"/>
      <c r="D12" s="23">
        <v>1</v>
      </c>
      <c r="E12" s="25">
        <v>42</v>
      </c>
      <c r="F12" s="26">
        <v>30.73</v>
      </c>
      <c r="G12" s="27" t="s">
        <v>293</v>
      </c>
      <c r="H12" s="28"/>
      <c r="I12" s="18"/>
      <c r="J12" s="18"/>
      <c r="K12" s="19"/>
      <c r="L12" s="21"/>
      <c r="M12" s="19"/>
      <c r="N12" s="21"/>
    </row>
    <row r="13" s="15" customFormat="1" ht="18" customHeight="1" spans="1:14">
      <c r="A13" s="18" t="s">
        <v>294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="15" customFormat="1" ht="18" customHeight="1" spans="1:14">
      <c r="A14" s="18" t="s">
        <v>295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="15" customFormat="1" ht="18" customHeight="1" spans="1:14">
      <c r="A15" s="18" t="s">
        <v>296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="15" customFormat="1" ht="30.75" customHeight="1" spans="1:14">
      <c r="A16" s="18" t="s">
        <v>297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s="16" customFormat="1" ht="28.5" customHeight="1" spans="1:14">
      <c r="A17" s="24" t="s">
        <v>298</v>
      </c>
      <c r="B17" s="24" t="s">
        <v>22</v>
      </c>
      <c r="C17" s="29" t="s">
        <v>299</v>
      </c>
      <c r="D17" s="30"/>
      <c r="E17" s="31"/>
      <c r="F17" s="29" t="s">
        <v>300</v>
      </c>
      <c r="G17" s="31"/>
      <c r="H17" s="24" t="s">
        <v>301</v>
      </c>
      <c r="I17" s="24" t="s">
        <v>302</v>
      </c>
      <c r="J17" s="24" t="s">
        <v>303</v>
      </c>
      <c r="K17" s="32" t="s">
        <v>204</v>
      </c>
      <c r="L17" s="32" t="s">
        <v>205</v>
      </c>
      <c r="M17" s="32" t="s">
        <v>206</v>
      </c>
      <c r="N17" s="24" t="s">
        <v>207</v>
      </c>
    </row>
    <row r="18" s="16" customFormat="1" ht="79" customHeight="1" spans="1:14">
      <c r="A18" s="32">
        <v>1</v>
      </c>
      <c r="B18" s="33">
        <v>8415901000</v>
      </c>
      <c r="C18" s="34" t="s">
        <v>304</v>
      </c>
      <c r="D18" s="35"/>
      <c r="E18" s="36"/>
      <c r="F18" s="37" t="s">
        <v>305</v>
      </c>
      <c r="G18" s="38"/>
      <c r="H18" s="39">
        <f>I18/10</f>
        <v>75.58</v>
      </c>
      <c r="I18" s="39">
        <v>755.8</v>
      </c>
      <c r="J18" s="40" t="s">
        <v>306</v>
      </c>
      <c r="K18" s="41" t="s">
        <v>212</v>
      </c>
      <c r="L18" s="41" t="s">
        <v>18</v>
      </c>
      <c r="M18" s="41" t="s">
        <v>307</v>
      </c>
      <c r="N18" s="32"/>
    </row>
    <row r="19" s="16" customFormat="1" ht="82" customHeight="1" spans="1:14">
      <c r="A19" s="32">
        <v>2</v>
      </c>
      <c r="B19" s="33">
        <v>8415901000</v>
      </c>
      <c r="C19" s="34" t="s">
        <v>308</v>
      </c>
      <c r="D19" s="35"/>
      <c r="E19" s="36"/>
      <c r="F19" s="37" t="s">
        <v>309</v>
      </c>
      <c r="G19" s="38"/>
      <c r="H19" s="39">
        <f>I19/17</f>
        <v>170.104117647059</v>
      </c>
      <c r="I19" s="39">
        <v>2891.77</v>
      </c>
      <c r="J19" s="40" t="s">
        <v>306</v>
      </c>
      <c r="K19" s="41" t="s">
        <v>212</v>
      </c>
      <c r="L19" s="41" t="s">
        <v>18</v>
      </c>
      <c r="M19" s="41" t="s">
        <v>307</v>
      </c>
      <c r="N19" s="32"/>
    </row>
    <row r="20" s="15" customFormat="1" ht="48.75" customHeight="1" spans="1:14">
      <c r="A20" s="42" t="s">
        <v>310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4"/>
    </row>
    <row r="21" s="16" customFormat="1" ht="41.25" customHeight="1" spans="1:14">
      <c r="A21" s="45" t="s">
        <v>311</v>
      </c>
      <c r="B21" s="46"/>
      <c r="C21" s="47" t="s">
        <v>312</v>
      </c>
      <c r="D21" s="47"/>
      <c r="E21" s="47" t="s">
        <v>87</v>
      </c>
      <c r="F21" s="48" t="s">
        <v>313</v>
      </c>
      <c r="G21" s="48"/>
      <c r="H21" s="48"/>
      <c r="I21" s="49"/>
      <c r="J21" s="46" t="s">
        <v>314</v>
      </c>
      <c r="K21" s="46"/>
      <c r="L21" s="46"/>
      <c r="M21" s="46"/>
      <c r="N21" s="50"/>
    </row>
    <row r="22" s="15" customFormat="1" ht="15.75" customHeight="1" spans="1:14">
      <c r="A22" s="51" t="s">
        <v>315</v>
      </c>
      <c r="B22" s="16"/>
      <c r="C22" s="16"/>
      <c r="D22" s="16"/>
      <c r="E22" s="16"/>
      <c r="F22" s="16" t="s">
        <v>316</v>
      </c>
      <c r="G22" s="16"/>
      <c r="H22" s="16"/>
      <c r="I22" s="52"/>
      <c r="J22" s="53"/>
      <c r="N22" s="54"/>
    </row>
    <row r="23" s="15" customFormat="1" ht="12.75" customHeight="1" spans="1:14">
      <c r="A23" s="55"/>
      <c r="B23" s="56"/>
      <c r="C23" s="56"/>
      <c r="D23" s="56"/>
      <c r="E23" s="56"/>
      <c r="F23" s="56"/>
      <c r="G23" s="56"/>
      <c r="H23" s="56"/>
      <c r="I23" s="57"/>
      <c r="J23" s="58"/>
      <c r="K23" s="59"/>
      <c r="L23" s="59"/>
      <c r="M23" s="59"/>
      <c r="N23" s="60"/>
    </row>
  </sheetData>
  <sheetProtection formatCells="0" formatColumns="0" formatRows="0" insertRows="0" insertColumns="0" insertHyperlinks="0" deleteColumns="0" deleteRows="0" sort="0" autoFilter="0" pivotTables="0"/>
  <mergeCells count="64">
    <mergeCell ref="A1:N1"/>
    <mergeCell ref="A2:N2"/>
    <mergeCell ref="A3:C3"/>
    <mergeCell ref="D3:E3"/>
    <mergeCell ref="F3:H3"/>
    <mergeCell ref="I3:J3"/>
    <mergeCell ref="K3:N3"/>
    <mergeCell ref="A4:C4"/>
    <mergeCell ref="D4:E4"/>
    <mergeCell ref="F4:H4"/>
    <mergeCell ref="I4:J4"/>
    <mergeCell ref="K4:N4"/>
    <mergeCell ref="A5:C5"/>
    <mergeCell ref="D5:E5"/>
    <mergeCell ref="F5:H5"/>
    <mergeCell ref="I5:N5"/>
    <mergeCell ref="A6:C6"/>
    <mergeCell ref="D6:E6"/>
    <mergeCell ref="F6:H6"/>
    <mergeCell ref="I6:N6"/>
    <mergeCell ref="A7:C7"/>
    <mergeCell ref="D7:E7"/>
    <mergeCell ref="F7:H7"/>
    <mergeCell ref="I7:N7"/>
    <mergeCell ref="A8:C8"/>
    <mergeCell ref="D8:E8"/>
    <mergeCell ref="F8:H8"/>
    <mergeCell ref="I8:N8"/>
    <mergeCell ref="A9:C9"/>
    <mergeCell ref="D9:E9"/>
    <mergeCell ref="F9:H9"/>
    <mergeCell ref="I9:K9"/>
    <mergeCell ref="L9:N9"/>
    <mergeCell ref="A10:C10"/>
    <mergeCell ref="D10:E10"/>
    <mergeCell ref="F10:H10"/>
    <mergeCell ref="I10:K10"/>
    <mergeCell ref="L10:N10"/>
    <mergeCell ref="A11:C11"/>
    <mergeCell ref="G11:H11"/>
    <mergeCell ref="I11:J11"/>
    <mergeCell ref="K11:L11"/>
    <mergeCell ref="M11:N11"/>
    <mergeCell ref="A12:C12"/>
    <mergeCell ref="G12:H12"/>
    <mergeCell ref="I12:J12"/>
    <mergeCell ref="K12:L12"/>
    <mergeCell ref="M12:N12"/>
    <mergeCell ref="A13:N13"/>
    <mergeCell ref="A14:N14"/>
    <mergeCell ref="A15:N15"/>
    <mergeCell ref="A16:N16"/>
    <mergeCell ref="C17:E17"/>
    <mergeCell ref="F17:G17"/>
    <mergeCell ref="C18:E18"/>
    <mergeCell ref="F18:G18"/>
    <mergeCell ref="C19:E19"/>
    <mergeCell ref="F19:G19"/>
    <mergeCell ref="A20:N20"/>
    <mergeCell ref="A21:B21"/>
    <mergeCell ref="F21:I21"/>
    <mergeCell ref="J21:N23"/>
    <mergeCell ref="A22:E23"/>
    <mergeCell ref="F22:I2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"/>
  <sheetViews>
    <sheetView tabSelected="1" topLeftCell="C1" workbookViewId="0">
      <selection activeCell="H9" sqref="H9"/>
    </sheetView>
  </sheetViews>
  <sheetFormatPr defaultColWidth="9" defaultRowHeight="14.1"/>
  <cols>
    <col min="1" max="1" width="23.3783783783784" customWidth="1"/>
    <col min="2" max="2" width="9.41441441441441" customWidth="1"/>
    <col min="3" max="3" width="13.6846846846847" customWidth="1"/>
    <col min="4" max="4" width="9.41441441441441" customWidth="1"/>
    <col min="5" max="5" width="11.5405405405405" customWidth="1"/>
    <col min="6" max="6" width="18.0810810810811" customWidth="1"/>
    <col min="7" max="7" width="13.6846846846847" customWidth="1"/>
    <col min="8" max="8" width="18.0810810810811" customWidth="1"/>
    <col min="9" max="9" width="11.5405405405405" customWidth="1"/>
    <col min="10" max="11" width="15.7567567567568" customWidth="1"/>
    <col min="12" max="12" width="11.5405405405405" customWidth="1"/>
    <col min="13" max="13" width="9.28828828828829" customWidth="1"/>
    <col min="14" max="14" width="6.63963963963964" customWidth="1"/>
    <col min="15" max="16" width="8.40540540540541" customWidth="1"/>
    <col min="17" max="17" width="5.3963963963964" customWidth="1"/>
    <col min="20" max="22" width="5.3963963963964" customWidth="1"/>
    <col min="23" max="23" width="13.6126126126126" customWidth="1"/>
    <col min="24" max="24" width="10.5585585585586" customWidth="1"/>
  </cols>
  <sheetData>
    <row r="1" spans="1:15">
      <c r="A1" s="1" t="s">
        <v>317</v>
      </c>
    </row>
    <row r="2" ht="16.25" spans="1:15">
      <c r="A2" s="2" t="s">
        <v>1</v>
      </c>
      <c r="B2" s="2" t="s">
        <v>2</v>
      </c>
      <c r="C2" s="2" t="s">
        <v>3</v>
      </c>
      <c r="D2" s="3" t="s">
        <v>4</v>
      </c>
      <c r="E2" s="3" t="s">
        <v>318</v>
      </c>
      <c r="F2" s="3" t="s">
        <v>6</v>
      </c>
      <c r="G2" s="3" t="s">
        <v>7</v>
      </c>
      <c r="H2" s="3" t="s">
        <v>8</v>
      </c>
      <c r="I2" s="3" t="s">
        <v>5</v>
      </c>
      <c r="J2" s="3" t="s">
        <v>9</v>
      </c>
      <c r="K2" s="3" t="s">
        <v>10</v>
      </c>
      <c r="L2" s="3" t="s">
        <v>11</v>
      </c>
      <c r="M2" s="3" t="s">
        <v>319</v>
      </c>
      <c r="N2" s="3" t="s">
        <v>32</v>
      </c>
      <c r="O2" s="3" t="s">
        <v>33</v>
      </c>
    </row>
    <row r="3" ht="16.25" spans="1:15">
      <c r="C3" s="4"/>
      <c r="D3" s="5"/>
      <c r="E3" s="6" t="s">
        <v>320</v>
      </c>
      <c r="F3" s="6" t="s">
        <v>321</v>
      </c>
      <c r="G3" s="5"/>
      <c r="H3" s="5"/>
      <c r="I3" s="6" t="s">
        <v>320</v>
      </c>
      <c r="J3" s="6" t="s">
        <v>321</v>
      </c>
      <c r="K3" s="5"/>
      <c r="L3" s="5"/>
    </row>
    <row r="5" spans="1:15">
      <c r="A5" s="1" t="s">
        <v>322</v>
      </c>
    </row>
    <row r="6" ht="16.25" spans="1:15">
      <c r="A6" s="3" t="s">
        <v>23</v>
      </c>
      <c r="B6" s="3" t="s">
        <v>24</v>
      </c>
      <c r="C6" s="3" t="s">
        <v>25</v>
      </c>
      <c r="D6" s="3" t="s">
        <v>27</v>
      </c>
      <c r="E6" s="3" t="s">
        <v>28</v>
      </c>
      <c r="F6" s="3" t="s">
        <v>26</v>
      </c>
      <c r="G6" s="3" t="s">
        <v>319</v>
      </c>
      <c r="H6" s="3" t="s">
        <v>32</v>
      </c>
      <c r="I6" s="3" t="s">
        <v>33</v>
      </c>
    </row>
    <row r="8" spans="1:15">
      <c r="A8" s="1" t="s">
        <v>323</v>
      </c>
    </row>
    <row r="9" ht="16.25" spans="1:15">
      <c r="A9" s="2" t="s">
        <v>39</v>
      </c>
      <c r="B9" s="3" t="s">
        <v>40</v>
      </c>
      <c r="C9" s="3" t="s">
        <v>12</v>
      </c>
      <c r="D9" s="3" t="s">
        <v>13</v>
      </c>
      <c r="E9" s="3" t="s">
        <v>29</v>
      </c>
      <c r="F9" s="3" t="s">
        <v>30</v>
      </c>
      <c r="G9" s="3" t="s">
        <v>42</v>
      </c>
      <c r="H9" s="7" t="s">
        <v>324</v>
      </c>
      <c r="I9" s="7" t="s">
        <v>325</v>
      </c>
      <c r="J9" s="2" t="s">
        <v>41</v>
      </c>
      <c r="K9" s="3" t="s">
        <v>47</v>
      </c>
      <c r="L9" s="3" t="s">
        <v>49</v>
      </c>
      <c r="M9" s="3" t="s">
        <v>32</v>
      </c>
      <c r="N9" s="3" t="s">
        <v>33</v>
      </c>
    </row>
    <row r="10" ht="12" customHeight="1"/>
    <row r="12" spans="1:15">
      <c r="A12" s="1" t="s">
        <v>326</v>
      </c>
    </row>
    <row r="13" spans="1:15">
      <c r="A13" s="1"/>
    </row>
    <row r="14" ht="16.25" spans="1:15">
      <c r="A14" s="3" t="s">
        <v>327</v>
      </c>
      <c r="B14" s="3" t="s">
        <v>328</v>
      </c>
      <c r="C14" s="3" t="s">
        <v>44</v>
      </c>
      <c r="D14" s="3" t="s">
        <v>329</v>
      </c>
      <c r="E14" s="3" t="s">
        <v>330</v>
      </c>
      <c r="F14" s="3" t="s">
        <v>32</v>
      </c>
      <c r="G14" s="3" t="s">
        <v>33</v>
      </c>
    </row>
    <row r="16" spans="1:15">
      <c r="A16" s="1" t="s">
        <v>331</v>
      </c>
    </row>
    <row r="17" ht="16.25" spans="1:24">
      <c r="A17" s="2" t="s">
        <v>39</v>
      </c>
      <c r="B17" s="3" t="s">
        <v>40</v>
      </c>
      <c r="C17" s="3" t="s">
        <v>42</v>
      </c>
      <c r="D17" s="7" t="s">
        <v>324</v>
      </c>
      <c r="E17" s="7" t="s">
        <v>325</v>
      </c>
      <c r="F17" s="3" t="s">
        <v>47</v>
      </c>
      <c r="G17" s="3" t="s">
        <v>49</v>
      </c>
      <c r="H17" s="3" t="s">
        <v>332</v>
      </c>
      <c r="I17" s="3" t="s">
        <v>32</v>
      </c>
      <c r="J17" s="3" t="s">
        <v>33</v>
      </c>
      <c r="K17" s="3"/>
    </row>
    <row r="20" spans="1:24">
      <c r="A20" s="1" t="s">
        <v>333</v>
      </c>
    </row>
    <row r="21" ht="48.85" spans="1:24">
      <c r="A21" s="8" t="s">
        <v>20</v>
      </c>
      <c r="B21" s="8" t="s">
        <v>194</v>
      </c>
      <c r="C21" s="8" t="s">
        <v>21</v>
      </c>
      <c r="D21" s="8" t="s">
        <v>195</v>
      </c>
      <c r="E21" s="8" t="s">
        <v>196</v>
      </c>
      <c r="F21" s="8" t="s">
        <v>197</v>
      </c>
      <c r="G21" s="8" t="s">
        <v>91</v>
      </c>
      <c r="H21" s="9" t="s">
        <v>198</v>
      </c>
      <c r="I21" s="9" t="s">
        <v>199</v>
      </c>
      <c r="J21" s="9" t="s">
        <v>200</v>
      </c>
      <c r="K21" s="9" t="s">
        <v>201</v>
      </c>
      <c r="L21" s="9" t="s">
        <v>202</v>
      </c>
      <c r="M21" s="9" t="s">
        <v>203</v>
      </c>
      <c r="N21" s="10" t="s">
        <v>204</v>
      </c>
      <c r="O21" s="10" t="s">
        <v>205</v>
      </c>
      <c r="P21" s="10" t="s">
        <v>206</v>
      </c>
      <c r="Q21" s="11" t="s">
        <v>207</v>
      </c>
      <c r="R21" s="12" t="s">
        <v>300</v>
      </c>
      <c r="S21" s="12"/>
      <c r="T21" s="12" t="s">
        <v>301</v>
      </c>
      <c r="U21" s="12" t="s">
        <v>302</v>
      </c>
      <c r="V21" s="12" t="s">
        <v>303</v>
      </c>
      <c r="W21" s="12" t="s">
        <v>41</v>
      </c>
      <c r="X21" s="12" t="s">
        <v>334</v>
      </c>
    </row>
    <row r="22" ht="16.25" spans="1:24">
      <c r="A22" s="13" t="s">
        <v>320</v>
      </c>
      <c r="B22" s="13" t="s">
        <v>321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4" t="s">
        <v>335</v>
      </c>
      <c r="S22" s="14"/>
      <c r="T22" s="14"/>
      <c r="U22" s="14"/>
      <c r="V22" s="14"/>
      <c r="W22" s="14"/>
      <c r="X22" s="14"/>
    </row>
  </sheetData>
  <sheetProtection formatCells="0" formatColumns="0" formatRows="0" insertRows="0" insertColumns="0" insertHyperlinks="0" deleteColumns="0" deleteRows="0" sort="0" autoFilter="0" pivotTables="0"/>
  <mergeCells count="5">
    <mergeCell ref="F3:H3"/>
    <mergeCell ref="J3:L3"/>
    <mergeCell ref="R21:S21"/>
    <mergeCell ref="B22:Q22"/>
    <mergeCell ref="R22:X2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基础信息</vt:lpstr>
      <vt:lpstr>客户名数据库</vt:lpstr>
      <vt:lpstr>产品数据库</vt:lpstr>
      <vt:lpstr>箱型库</vt:lpstr>
      <vt:lpstr>报关单</vt:lpstr>
      <vt:lpstr>Sheet10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Aurora</cp:lastModifiedBy>
  <dcterms:created xsi:type="dcterms:W3CDTF">2023-05-15T11:15:00Z</dcterms:created>
  <dcterms:modified xsi:type="dcterms:W3CDTF">2026-03-02T08:28:17Z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F08EB8288C914010A9B5F5C8253CA3C0_13</vt:lpwstr>
  </property>
  <property fmtid="{D5CDD505-2E9C-101B-9397-08002B2CF9AE}" pid="4" name="CalculationRule">
    <vt:i4>0</vt:i4>
  </property>
</Properties>
</file>