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145"/>
  </bookViews>
  <sheets>
    <sheet name="基础信息" sheetId="1" r:id="rId1"/>
    <sheet name="增加信息" sheetId="2" r:id="rId2"/>
    <sheet name="数据库" sheetId="3" r:id="rId3"/>
    <sheet name="产品数据库" sheetId="4" r:id="rId4"/>
    <sheet name="报关单" sheetId="5" r:id="rId5"/>
    <sheet name="发票" sheetId="6" r:id="rId6"/>
    <sheet name="箱单" sheetId="7" r:id="rId7"/>
    <sheet name="询价格式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<sst xmlns="http://schemas.openxmlformats.org/spreadsheetml/2006/main" count="197" uniqueCount="146">
  <si>
    <t>公司抬头</t>
  </si>
  <si>
    <t>指令人</t>
  </si>
  <si>
    <t>接收指令日期</t>
  </si>
  <si>
    <t>业务类型</t>
  </si>
  <si>
    <t>客户ID</t>
  </si>
  <si>
    <t>发货地址</t>
  </si>
  <si>
    <t>发件人</t>
  </si>
  <si>
    <t>发件人电话</t>
  </si>
  <si>
    <t>收货地址</t>
  </si>
  <si>
    <t>收件人</t>
  </si>
  <si>
    <t>收件人电话</t>
  </si>
  <si>
    <t>始发地</t>
  </si>
  <si>
    <t>目的地</t>
  </si>
  <si>
    <t>贸易术语</t>
  </si>
  <si>
    <t>品名</t>
  </si>
  <si>
    <t>商品编号</t>
  </si>
  <si>
    <t>件数</t>
  </si>
  <si>
    <t>重量</t>
  </si>
  <si>
    <t>体积</t>
  </si>
  <si>
    <t>计费重量</t>
  </si>
  <si>
    <t>尺寸</t>
  </si>
  <si>
    <t>报关口岸</t>
  </si>
  <si>
    <t>报关抬头</t>
  </si>
  <si>
    <t>监管条件</t>
  </si>
  <si>
    <t>备注1</t>
  </si>
  <si>
    <t>备注2</t>
  </si>
  <si>
    <t>备注3</t>
  </si>
  <si>
    <t>出口业务</t>
  </si>
  <si>
    <t>铁岭</t>
  </si>
  <si>
    <t>波兰</t>
  </si>
  <si>
    <t>汽车空调出风口总成</t>
  </si>
  <si>
    <t>北京</t>
  </si>
  <si>
    <t>沃柏铁岭</t>
  </si>
  <si>
    <t>运输方式</t>
  </si>
  <si>
    <t>运单号</t>
  </si>
  <si>
    <t>供应商</t>
  </si>
  <si>
    <t>提货日期</t>
  </si>
  <si>
    <t>到港时间</t>
  </si>
  <si>
    <t>放行时间</t>
  </si>
  <si>
    <t>送达时间</t>
  </si>
  <si>
    <t>完整资料发送时间</t>
  </si>
  <si>
    <t>地址</t>
  </si>
  <si>
    <t>姓名</t>
  </si>
  <si>
    <t>电话</t>
  </si>
  <si>
    <t>邮箱</t>
  </si>
  <si>
    <t>产品ID</t>
  </si>
  <si>
    <t>中华人民共和国海关出口货物报关单</t>
  </si>
  <si>
    <t xml:space="preserve">            预录入编号：                                                                           海关编号：                                                                                            页码/页数：</t>
  </si>
  <si>
    <t xml:space="preserve">境内发货人  (91211200MADQ64Q38W) </t>
  </si>
  <si>
    <t>出境关别</t>
  </si>
  <si>
    <t>出口日期</t>
  </si>
  <si>
    <t>申报日期</t>
  </si>
  <si>
    <t>备案号</t>
  </si>
  <si>
    <t>沃柏精工制造(铁岭)有限公司</t>
  </si>
  <si>
    <t xml:space="preserve">境外收货人 </t>
  </si>
  <si>
    <t>运输工具名称及航次号</t>
  </si>
  <si>
    <t>提运单号</t>
  </si>
  <si>
    <t>Wezi Tec Sp.z.o.o</t>
  </si>
  <si>
    <t>空运</t>
  </si>
  <si>
    <t xml:space="preserve">生产销售单位 </t>
  </si>
  <si>
    <t>监管方式</t>
  </si>
  <si>
    <t>征免性质</t>
  </si>
  <si>
    <t>许可证号</t>
  </si>
  <si>
    <t>一般贸易</t>
  </si>
  <si>
    <t xml:space="preserve"> </t>
  </si>
  <si>
    <t>合同协议号</t>
  </si>
  <si>
    <t>贸易国（地区）</t>
  </si>
  <si>
    <t>运抵国（地区）</t>
  </si>
  <si>
    <t>指运港</t>
  </si>
  <si>
    <t>离境口岸</t>
  </si>
  <si>
    <t>4300104393/4300103647</t>
  </si>
  <si>
    <t>包装种类</t>
  </si>
  <si>
    <t>毛重(千克)</t>
  </si>
  <si>
    <t>净重(千克)</t>
  </si>
  <si>
    <t>成交方式</t>
  </si>
  <si>
    <t>运费</t>
  </si>
  <si>
    <t>保费</t>
  </si>
  <si>
    <t>杂费</t>
  </si>
  <si>
    <t>纸箱</t>
  </si>
  <si>
    <t>FOB</t>
  </si>
  <si>
    <t>随附单证</t>
  </si>
  <si>
    <t>随附单证1：                                                                                                               随附单证2：</t>
  </si>
  <si>
    <t xml:space="preserve">标记唛码及备注   </t>
  </si>
  <si>
    <t xml:space="preserve"> 唛头是必填项目!     </t>
  </si>
  <si>
    <t>项号</t>
  </si>
  <si>
    <t>商品名称、规格型号</t>
  </si>
  <si>
    <t>数量及单位</t>
  </si>
  <si>
    <t>单价</t>
  </si>
  <si>
    <t>总价</t>
  </si>
  <si>
    <t>币制</t>
  </si>
  <si>
    <t>原产国(地区)</t>
  </si>
  <si>
    <t>最终目的国(地区)</t>
  </si>
  <si>
    <t>境内货源地</t>
  </si>
  <si>
    <t>征免</t>
  </si>
  <si>
    <t xml:space="preserve">G5x 车内出风口总成零件
G5x Airvent LHD CS
品牌：无
型号：无
适用车型：宝马NA0车型车内空调出风口
</t>
  </si>
  <si>
    <t>10套</t>
  </si>
  <si>
    <t>欧元</t>
  </si>
  <si>
    <t>中国</t>
  </si>
  <si>
    <t>辽宁铁岭</t>
  </si>
  <si>
    <t xml:space="preserve">NA0 车内出风口总成零件
NA0 Airvent LHD CS,FIZ
品牌：无
型号：无
适用车型：宝马NA0车型车内空调出风口
</t>
  </si>
  <si>
    <t>17套</t>
  </si>
  <si>
    <t>特殊关系确认：是                 价格影响确认： 否                   支付特许权使用费确认：否                     自报自缴：         品牌类型：境外品牌（其他）              享惠情情况：不确定</t>
  </si>
  <si>
    <t>申报人员</t>
  </si>
  <si>
    <t>申报人员证号</t>
  </si>
  <si>
    <t>兹申明对以上内容承担如实申报、依法纳税之法律责任</t>
  </si>
  <si>
    <t>海关批注及盖章</t>
  </si>
  <si>
    <t>申报单位：</t>
  </si>
  <si>
    <t>申报单位（盖章）</t>
  </si>
  <si>
    <t>Consignee:</t>
  </si>
  <si>
    <t>Sender:</t>
  </si>
  <si>
    <t>Wezi Tec Sp z.o.o</t>
  </si>
  <si>
    <t>Weber Engineering &amp; Manufacturing</t>
  </si>
  <si>
    <t>Anlaufzentrum Lagerort 0066</t>
  </si>
  <si>
    <t>(Tieling) Co.,Ltd</t>
  </si>
  <si>
    <t>ul. Jaworzynska</t>
  </si>
  <si>
    <t xml:space="preserve">No.4 plant,Anling Industrial Park, </t>
  </si>
  <si>
    <t>PL-59-220 Legnica. Poland</t>
  </si>
  <si>
    <t>Dongli Ave. Tieling , Liaoning</t>
  </si>
  <si>
    <t>112000, P.R.China</t>
  </si>
  <si>
    <t>Attention:</t>
  </si>
  <si>
    <t xml:space="preserve"> Invoice</t>
  </si>
  <si>
    <t>Date:</t>
  </si>
  <si>
    <t xml:space="preserve">Delivery note: </t>
  </si>
  <si>
    <r>
      <rPr>
        <sz val="10"/>
        <rFont val="Arial"/>
        <charset val="134"/>
      </rPr>
      <t>I</t>
    </r>
    <r>
      <rPr>
        <sz val="10"/>
        <rFont val="Arial"/>
        <charset val="134"/>
      </rPr>
      <t>nvoice No.</t>
    </r>
  </si>
  <si>
    <t>Typ of delivery:</t>
  </si>
  <si>
    <t>Air freight</t>
  </si>
  <si>
    <t>Order Nr.</t>
  </si>
  <si>
    <t>Weber Part-No.:</t>
  </si>
  <si>
    <t>Description</t>
  </si>
  <si>
    <t>Quantity</t>
  </si>
  <si>
    <t>M</t>
  </si>
  <si>
    <t>Unit Price</t>
  </si>
  <si>
    <t>Price</t>
  </si>
  <si>
    <t>PCS</t>
  </si>
  <si>
    <t>E</t>
  </si>
  <si>
    <t>EUR</t>
  </si>
  <si>
    <t>G5x Airvent LHD CS,FIZ</t>
  </si>
  <si>
    <t>NA0 Airvent LHD CS,FIZ</t>
  </si>
  <si>
    <t>commodity code: 8415901000</t>
  </si>
  <si>
    <t>country of origin: CN</t>
  </si>
  <si>
    <t>dimensions:</t>
  </si>
  <si>
    <t>120*78*83 * 1 Box</t>
  </si>
  <si>
    <t>Packing List</t>
  </si>
  <si>
    <t>Net Wight</t>
  </si>
  <si>
    <t>Gross Wight</t>
  </si>
  <si>
    <t>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</si>
</sst>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#,##0.00\ [$€-407]"/>
    <numFmt numFmtId="178" formatCode="0.000"/>
    <numFmt numFmtId="179" formatCode="0&quot;个&quot;"/>
  </numFmts>
  <fonts count="42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0"/>
      <name val="Arial"/>
      <charset val="134"/>
    </font>
    <font>
      <sz val="11"/>
      <name val="Calibri"/>
      <charset val="134"/>
    </font>
    <font>
      <sz val="8"/>
      <name val="Arial"/>
      <charset val="134"/>
    </font>
    <font>
      <b/>
      <sz val="36"/>
      <name val="Arial"/>
      <charset val="134"/>
    </font>
    <font>
      <b/>
      <sz val="14"/>
      <name val="Arial"/>
      <charset val="134"/>
    </font>
    <font>
      <b/>
      <sz val="8"/>
      <name val="Arial"/>
      <charset val="134"/>
    </font>
    <font>
      <b/>
      <sz val="10"/>
      <color rgb="FFFF0000"/>
      <name val="Arial"/>
      <charset val="134"/>
    </font>
    <font>
      <sz val="10"/>
      <color rgb="FFFF0000"/>
      <name val="Arial"/>
      <charset val="134"/>
    </font>
    <font>
      <sz val="11"/>
      <color theme="1"/>
      <name val="Arial"/>
      <charset val="134"/>
    </font>
    <font>
      <sz val="9"/>
      <name val="Arial"/>
      <charset val="134"/>
    </font>
    <font>
      <sz val="10"/>
      <color theme="1"/>
      <name val="Arial"/>
      <charset val="134"/>
    </font>
    <font>
      <b/>
      <u/>
      <sz val="10"/>
      <name val="Arial"/>
      <charset val="134"/>
    </font>
    <font>
      <b/>
      <sz val="28"/>
      <name val="Arial"/>
      <charset val="134"/>
    </font>
    <font>
      <sz val="11"/>
      <name val="Microsoft YaHei UI"/>
      <charset val="134"/>
    </font>
    <font>
      <b/>
      <sz val="11"/>
      <name val="Microsoft YaHei UI"/>
      <charset val="134"/>
    </font>
    <font>
      <sz val="11"/>
      <name val="微软雅黑"/>
      <charset val="134"/>
    </font>
    <font>
      <sz val="11"/>
      <color theme="0"/>
      <name val="微软雅黑"/>
      <charset val="0"/>
    </font>
    <font>
      <sz val="11"/>
      <color theme="0"/>
      <name val="微软雅黑"/>
      <charset val="134"/>
    </font>
    <font>
      <sz val="11"/>
      <color theme="1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7FD9D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0" fillId="5" borderId="16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17">
      <alignment vertical="center"/>
    </xf>
    <xf numFmtId="0" fontId="28" fillId="0" borderId="17">
      <alignment vertical="center"/>
    </xf>
    <xf numFmtId="0" fontId="29" fillId="0" borderId="18">
      <alignment vertical="center"/>
    </xf>
    <xf numFmtId="0" fontId="29" fillId="0" borderId="0">
      <alignment vertical="center"/>
    </xf>
    <xf numFmtId="0" fontId="30" fillId="6" borderId="19">
      <alignment vertical="center"/>
    </xf>
    <xf numFmtId="0" fontId="31" fillId="7" borderId="20">
      <alignment vertical="center"/>
    </xf>
    <xf numFmtId="0" fontId="32" fillId="7" borderId="19">
      <alignment vertical="center"/>
    </xf>
    <xf numFmtId="0" fontId="33" fillId="8" borderId="21">
      <alignment vertical="center"/>
    </xf>
    <xf numFmtId="0" fontId="34" fillId="0" borderId="22">
      <alignment vertical="center"/>
    </xf>
    <xf numFmtId="0" fontId="35" fillId="0" borderId="23">
      <alignment vertical="center"/>
    </xf>
    <xf numFmtId="0" fontId="36" fillId="9" borderId="0">
      <alignment vertical="center"/>
    </xf>
    <xf numFmtId="0" fontId="37" fillId="10" borderId="0">
      <alignment vertical="center"/>
    </xf>
    <xf numFmtId="0" fontId="38" fillId="11" borderId="0">
      <alignment vertical="center"/>
    </xf>
    <xf numFmtId="0" fontId="39" fillId="4" borderId="0">
      <alignment vertical="center"/>
    </xf>
    <xf numFmtId="0" fontId="40" fillId="12" borderId="0">
      <alignment vertical="center"/>
    </xf>
    <xf numFmtId="0" fontId="40" fillId="13" borderId="0">
      <alignment vertical="center"/>
    </xf>
    <xf numFmtId="0" fontId="39" fillId="14" borderId="0">
      <alignment vertical="center"/>
    </xf>
    <xf numFmtId="0" fontId="39" fillId="15" borderId="0">
      <alignment vertical="center"/>
    </xf>
    <xf numFmtId="0" fontId="40" fillId="16" borderId="0">
      <alignment vertical="center"/>
    </xf>
    <xf numFmtId="0" fontId="40" fillId="17" borderId="0">
      <alignment vertical="center"/>
    </xf>
    <xf numFmtId="0" fontId="39" fillId="18" borderId="0">
      <alignment vertical="center"/>
    </xf>
    <xf numFmtId="0" fontId="39" fillId="19" borderId="0">
      <alignment vertical="center"/>
    </xf>
    <xf numFmtId="0" fontId="40" fillId="20" borderId="0">
      <alignment vertical="center"/>
    </xf>
    <xf numFmtId="0" fontId="40" fillId="21" borderId="0">
      <alignment vertical="center"/>
    </xf>
    <xf numFmtId="0" fontId="39" fillId="22" borderId="0">
      <alignment vertical="center"/>
    </xf>
    <xf numFmtId="0" fontId="39" fillId="23" borderId="0">
      <alignment vertical="center"/>
    </xf>
    <xf numFmtId="0" fontId="40" fillId="24" borderId="0">
      <alignment vertical="center"/>
    </xf>
    <xf numFmtId="0" fontId="40" fillId="25" borderId="0">
      <alignment vertical="center"/>
    </xf>
    <xf numFmtId="0" fontId="39" fillId="26" borderId="0">
      <alignment vertical="center"/>
    </xf>
    <xf numFmtId="0" fontId="39" fillId="27" borderId="0">
      <alignment vertical="center"/>
    </xf>
    <xf numFmtId="0" fontId="40" fillId="28" borderId="0">
      <alignment vertical="center"/>
    </xf>
    <xf numFmtId="0" fontId="40" fillId="29" borderId="0">
      <alignment vertical="center"/>
    </xf>
    <xf numFmtId="0" fontId="39" fillId="30" borderId="0">
      <alignment vertical="center"/>
    </xf>
    <xf numFmtId="0" fontId="39" fillId="31" borderId="0">
      <alignment vertical="center"/>
    </xf>
    <xf numFmtId="0" fontId="40" fillId="32" borderId="0">
      <alignment vertical="center"/>
    </xf>
    <xf numFmtId="0" fontId="40" fillId="33" borderId="0">
      <alignment vertical="center"/>
    </xf>
    <xf numFmtId="0" fontId="39" fillId="34" borderId="0">
      <alignment vertical="center"/>
    </xf>
    <xf numFmtId="0" fontId="41" fillId="4" borderId="0" applyNumberFormat="0" applyBorder="0" applyAlignment="0" applyProtection="0">
      <alignment vertical="center"/>
    </xf>
  </cellStyleXfs>
  <cellXfs count="105">
    <xf numFmtId="0" fontId="0" fillId="0" borderId="0" xfId="0" applyAlignment="1">
      <alignment vertical="center"/>
    </xf>
    <xf numFmtId="0" fontId="1" fillId="0" borderId="0" xfId="0" applyFont="1" applyFill="1" applyAlignment="1"/>
    <xf numFmtId="2" fontId="1" fillId="0" borderId="0" xfId="0" applyNumberFormat="1" applyFont="1" applyFill="1" applyAlignment="1"/>
    <xf numFmtId="0" fontId="2" fillId="0" borderId="0" xfId="0" applyFont="1" applyFill="1" applyAlignment="1"/>
    <xf numFmtId="0" fontId="1" fillId="0" borderId="0" xfId="0" applyFont="1" applyFill="1" applyAlignment="1">
      <alignment horizontal="left"/>
    </xf>
    <xf numFmtId="2" fontId="1" fillId="0" borderId="0" xfId="0" applyNumberFormat="1" applyFont="1" applyFill="1" applyAlignment="1">
      <alignment horizontal="left"/>
    </xf>
    <xf numFmtId="0" fontId="3" fillId="0" borderId="0" xfId="0" applyFont="1" applyFill="1" applyAlignment="1"/>
    <xf numFmtId="0" fontId="4" fillId="0" borderId="0" xfId="0" applyFont="1" applyFill="1" applyAlignment="1">
      <alignment horizontal="right"/>
    </xf>
    <xf numFmtId="0" fontId="4" fillId="0" borderId="0" xfId="0" applyFont="1" applyFill="1" applyAlignment="1">
      <alignment horizontal="center"/>
    </xf>
    <xf numFmtId="2" fontId="4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/>
    <xf numFmtId="0" fontId="6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left"/>
    </xf>
    <xf numFmtId="176" fontId="8" fillId="0" borderId="0" xfId="0" applyNumberFormat="1" applyFont="1" applyFill="1" applyAlignment="1">
      <alignment horizontal="left"/>
    </xf>
    <xf numFmtId="0" fontId="9" fillId="0" borderId="0" xfId="0" applyFont="1" applyFill="1" applyAlignment="1">
      <alignment horizontal="left"/>
    </xf>
    <xf numFmtId="49" fontId="2" fillId="0" borderId="0" xfId="0" applyNumberFormat="1" applyFont="1" applyFill="1" applyAlignment="1">
      <alignment horizontal="center"/>
    </xf>
    <xf numFmtId="0" fontId="7" fillId="0" borderId="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/>
    </xf>
    <xf numFmtId="2" fontId="7" fillId="0" borderId="2" xfId="0" applyNumberFormat="1" applyFont="1" applyFill="1" applyBorder="1" applyAlignment="1">
      <alignment horizont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10" fillId="2" borderId="2" xfId="0" applyFont="1" applyFill="1" applyBorder="1" applyAlignment="1" applyProtection="1">
      <alignment horizontal="left" vertical="center"/>
      <protection locked="0"/>
    </xf>
    <xf numFmtId="177" fontId="10" fillId="2" borderId="2" xfId="0" applyNumberFormat="1" applyFont="1" applyFill="1" applyBorder="1" applyAlignment="1">
      <alignment horizontal="left" vertical="center"/>
    </xf>
    <xf numFmtId="0" fontId="10" fillId="2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>
      <alignment horizontal="center" vertical="center"/>
    </xf>
    <xf numFmtId="2" fontId="7" fillId="0" borderId="2" xfId="0" applyNumberFormat="1" applyFont="1" applyFill="1" applyBorder="1" applyAlignment="1">
      <alignment horizontal="center" vertical="center"/>
    </xf>
    <xf numFmtId="2" fontId="7" fillId="0" borderId="2" xfId="0" applyNumberFormat="1" applyFont="1" applyFill="1" applyBorder="1" applyAlignment="1">
      <alignment vertical="center"/>
    </xf>
    <xf numFmtId="0" fontId="1" fillId="0" borderId="5" xfId="0" applyFont="1" applyFill="1" applyBorder="1" applyAlignment="1"/>
    <xf numFmtId="0" fontId="1" fillId="0" borderId="5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2" fontId="1" fillId="0" borderId="5" xfId="0" applyNumberFormat="1" applyFont="1" applyFill="1" applyBorder="1" applyAlignment="1">
      <alignment horizontal="center"/>
    </xf>
    <xf numFmtId="0" fontId="11" fillId="0" borderId="5" xfId="0" applyFont="1" applyFill="1" applyBorder="1" applyAlignment="1">
      <alignment horizontal="center"/>
    </xf>
    <xf numFmtId="0" fontId="12" fillId="0" borderId="0" xfId="0" applyFont="1" applyFill="1" applyAlignment="1"/>
    <xf numFmtId="0" fontId="1" fillId="0" borderId="6" xfId="0" applyFont="1" applyFill="1" applyBorder="1" applyAlignment="1">
      <alignment horizontal="center"/>
    </xf>
    <xf numFmtId="2" fontId="9" fillId="0" borderId="5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left" vertical="center" wrapText="1"/>
    </xf>
    <xf numFmtId="1" fontId="1" fillId="0" borderId="5" xfId="0" applyNumberFormat="1" applyFont="1" applyFill="1" applyBorder="1" applyAlignment="1">
      <alignment horizontal="center"/>
    </xf>
    <xf numFmtId="1" fontId="13" fillId="0" borderId="5" xfId="0" applyNumberFormat="1" applyFont="1" applyFill="1" applyBorder="1" applyAlignment="1">
      <alignment horizontal="center"/>
    </xf>
    <xf numFmtId="2" fontId="13" fillId="0" borderId="5" xfId="0" applyNumberFormat="1" applyFont="1" applyFill="1" applyBorder="1" applyAlignment="1">
      <alignment horizontal="center"/>
    </xf>
    <xf numFmtId="0" fontId="1" fillId="0" borderId="3" xfId="0" applyFon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/>
    <xf numFmtId="0" fontId="1" fillId="0" borderId="7" xfId="0" applyFont="1" applyFill="1" applyBorder="1" applyAlignment="1">
      <alignment horizontal="center"/>
    </xf>
    <xf numFmtId="1" fontId="1" fillId="0" borderId="3" xfId="0" applyNumberFormat="1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2" fontId="12" fillId="0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2" xfId="0" applyFont="1" applyFill="1" applyBorder="1" applyAlignment="1" applyProtection="1">
      <alignment horizontal="center" vertical="center"/>
      <protection locked="0"/>
    </xf>
    <xf numFmtId="178" fontId="12" fillId="0" borderId="2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/>
    <xf numFmtId="2" fontId="1" fillId="0" borderId="5" xfId="0" applyNumberFormat="1" applyFont="1" applyFill="1" applyBorder="1" applyAlignment="1"/>
    <xf numFmtId="0" fontId="9" fillId="0" borderId="8" xfId="0" applyFont="1" applyFill="1" applyBorder="1" applyAlignment="1"/>
    <xf numFmtId="0" fontId="9" fillId="0" borderId="0" xfId="0" applyFont="1" applyFill="1" applyAlignment="1"/>
    <xf numFmtId="0" fontId="11" fillId="0" borderId="3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top"/>
    </xf>
    <xf numFmtId="0" fontId="15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left" vertical="center"/>
    </xf>
    <xf numFmtId="0" fontId="15" fillId="0" borderId="10" xfId="0" applyFont="1" applyFill="1" applyBorder="1" applyAlignment="1">
      <alignment horizontal="left" vertical="center"/>
    </xf>
    <xf numFmtId="0" fontId="15" fillId="0" borderId="11" xfId="0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left" vertical="center"/>
    </xf>
    <xf numFmtId="14" fontId="15" fillId="0" borderId="2" xfId="0" applyNumberFormat="1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center" vertical="center"/>
    </xf>
    <xf numFmtId="2" fontId="15" fillId="0" borderId="2" xfId="0" applyNumberFormat="1" applyFont="1" applyFill="1" applyBorder="1" applyAlignment="1">
      <alignment horizontal="left" vertical="center"/>
    </xf>
    <xf numFmtId="4" fontId="15" fillId="0" borderId="2" xfId="0" applyNumberFormat="1" applyFont="1" applyFill="1" applyBorder="1" applyAlignment="1">
      <alignment horizontal="left" vertical="center"/>
    </xf>
    <xf numFmtId="0" fontId="15" fillId="0" borderId="10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 wrapText="1"/>
    </xf>
    <xf numFmtId="1" fontId="15" fillId="0" borderId="2" xfId="0" applyNumberFormat="1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  <xf numFmtId="179" fontId="15" fillId="0" borderId="10" xfId="0" applyNumberFormat="1" applyFont="1" applyFill="1" applyBorder="1" applyAlignment="1">
      <alignment horizontal="center" vertical="center" wrapText="1"/>
    </xf>
    <xf numFmtId="179" fontId="15" fillId="0" borderId="12" xfId="0" applyNumberFormat="1" applyFont="1" applyFill="1" applyBorder="1" applyAlignment="1">
      <alignment horizontal="center" vertical="center" wrapText="1"/>
    </xf>
    <xf numFmtId="40" fontId="15" fillId="0" borderId="2" xfId="1" applyNumberFormat="1" applyFont="1" applyBorder="1" applyAlignment="1">
      <alignment horizontal="center" vertical="center"/>
    </xf>
    <xf numFmtId="0" fontId="15" fillId="0" borderId="13" xfId="0" applyFont="1" applyFill="1" applyBorder="1" applyAlignment="1">
      <alignment horizontal="left" vertical="top"/>
    </xf>
    <xf numFmtId="0" fontId="15" fillId="0" borderId="14" xfId="0" applyFont="1" applyFill="1" applyBorder="1" applyAlignment="1">
      <alignment horizontal="left" vertical="top"/>
    </xf>
    <xf numFmtId="0" fontId="15" fillId="0" borderId="14" xfId="0" applyFont="1" applyFill="1" applyBorder="1" applyAlignment="1">
      <alignment vertical="top"/>
    </xf>
    <xf numFmtId="0" fontId="15" fillId="0" borderId="14" xfId="0" applyFont="1" applyFill="1" applyBorder="1" applyAlignment="1">
      <alignment horizontal="left" vertical="top" wrapText="1"/>
    </xf>
    <xf numFmtId="0" fontId="15" fillId="0" borderId="15" xfId="0" applyFont="1" applyFill="1" applyBorder="1" applyAlignment="1">
      <alignment horizontal="left" vertical="top" wrapText="1"/>
    </xf>
    <xf numFmtId="0" fontId="15" fillId="0" borderId="15" xfId="0" applyFont="1" applyFill="1" applyBorder="1" applyAlignment="1">
      <alignment horizontal="left" vertical="top"/>
    </xf>
    <xf numFmtId="0" fontId="15" fillId="0" borderId="8" xfId="0" applyFont="1" applyFill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top"/>
    </xf>
    <xf numFmtId="0" fontId="15" fillId="0" borderId="6" xfId="0" applyFont="1" applyFill="1" applyBorder="1" applyAlignment="1">
      <alignment horizontal="left" vertical="top"/>
    </xf>
    <xf numFmtId="0" fontId="15" fillId="0" borderId="4" xfId="0" applyFont="1" applyFill="1" applyBorder="1" applyAlignment="1">
      <alignment horizontal="left" vertical="center"/>
    </xf>
    <xf numFmtId="0" fontId="15" fillId="0" borderId="9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left" vertical="top"/>
    </xf>
    <xf numFmtId="0" fontId="15" fillId="0" borderId="9" xfId="0" applyFont="1" applyFill="1" applyBorder="1" applyAlignment="1">
      <alignment horizontal="left" vertical="top"/>
    </xf>
    <xf numFmtId="0" fontId="15" fillId="0" borderId="7" xfId="0" applyFont="1" applyFill="1" applyBorder="1" applyAlignment="1">
      <alignment horizontal="left" vertical="top"/>
    </xf>
    <xf numFmtId="0" fontId="17" fillId="3" borderId="0" xfId="49" applyFont="1" applyFill="1" applyAlignment="1">
      <alignment horizontal="center" vertical="center"/>
    </xf>
    <xf numFmtId="176" fontId="18" fillId="4" borderId="0" xfId="25" applyNumberFormat="1" applyFont="1" applyFill="1" applyAlignment="1">
      <alignment horizontal="center" vertical="center"/>
    </xf>
    <xf numFmtId="176" fontId="19" fillId="4" borderId="0" xfId="49" applyNumberFormat="1" applyFont="1" applyAlignment="1">
      <alignment horizontal="center" vertical="center"/>
    </xf>
    <xf numFmtId="176" fontId="17" fillId="3" borderId="0" xfId="49" applyNumberFormat="1" applyFont="1" applyFill="1" applyAlignment="1">
      <alignment horizontal="center" vertical="center"/>
    </xf>
    <xf numFmtId="0" fontId="19" fillId="4" borderId="0" xfId="49" applyFont="1" applyAlignment="1">
      <alignment horizontal="center" vertical="center"/>
    </xf>
    <xf numFmtId="0" fontId="19" fillId="4" borderId="0" xfId="49" applyFont="1" applyFill="1" applyAlignment="1">
      <alignment horizontal="center" vertical="center"/>
    </xf>
    <xf numFmtId="176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49" fontId="20" fillId="0" borderId="0" xfId="0" applyNumberFormat="1" applyFont="1" applyFill="1" applyAlignment="1">
      <alignment horizontal="center" vertical="center"/>
    </xf>
    <xf numFmtId="0" fontId="21" fillId="0" borderId="0" xfId="0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着色 1 2" xfId="49"/>
  </cellStyles>
  <tableStyles count="0" defaultTableStyle="TableStyleMedium2" defaultPivotStyle="PivotStyleLight16"/>
  <colors>
    <mruColors>
      <color rgb="00F7FD9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1206502</xdr:colOff>
      <xdr:row>0</xdr:row>
      <xdr:rowOff>0</xdr:rowOff>
    </xdr:from>
    <xdr:ext cx="3174" cy="17271"/>
    <xdr:pic>
      <xdr:nvPicPr>
        <xdr:cNvPr id="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5" cy="17271"/>
    <xdr:pic>
      <xdr:nvPicPr>
        <xdr:cNvPr id="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5" cy="17271"/>
    <xdr:pic>
      <xdr:nvPicPr>
        <xdr:cNvPr id="2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3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3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4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4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4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4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5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5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5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5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5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5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5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5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5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5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6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6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6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6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6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6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6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6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431863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6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6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7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7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7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7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7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09130" y="337312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7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09130" y="337312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7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09130" y="337312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7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09130" y="337312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7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09130" y="337312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7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09130" y="337312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8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8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8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8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8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8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8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8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8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8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9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9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35</xdr:row>
      <xdr:rowOff>0</xdr:rowOff>
    </xdr:from>
    <xdr:ext cx="3174" cy="17271"/>
    <xdr:pic>
      <xdr:nvPicPr>
        <xdr:cNvPr id="9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08774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35</xdr:row>
      <xdr:rowOff>0</xdr:rowOff>
    </xdr:from>
    <xdr:ext cx="3174" cy="17271"/>
    <xdr:pic>
      <xdr:nvPicPr>
        <xdr:cNvPr id="9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08774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35</xdr:row>
      <xdr:rowOff>0</xdr:rowOff>
    </xdr:from>
    <xdr:ext cx="3174" cy="17271"/>
    <xdr:pic>
      <xdr:nvPicPr>
        <xdr:cNvPr id="9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0877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35</xdr:row>
      <xdr:rowOff>0</xdr:rowOff>
    </xdr:from>
    <xdr:ext cx="3174" cy="17271"/>
    <xdr:pic>
      <xdr:nvPicPr>
        <xdr:cNvPr id="9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0877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35</xdr:row>
      <xdr:rowOff>0</xdr:rowOff>
    </xdr:from>
    <xdr:ext cx="3174" cy="17271"/>
    <xdr:pic>
      <xdr:nvPicPr>
        <xdr:cNvPr id="9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0877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35</xdr:row>
      <xdr:rowOff>0</xdr:rowOff>
    </xdr:from>
    <xdr:ext cx="3174" cy="17271"/>
    <xdr:pic>
      <xdr:nvPicPr>
        <xdr:cNvPr id="9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08774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9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9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0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0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0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0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0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0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0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0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0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0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1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1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1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1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1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1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1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1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1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1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2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2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2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2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2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2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2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2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2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2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3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3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3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3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3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3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3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3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3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3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4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4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4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4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4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4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4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4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4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4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5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5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5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5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39</xdr:row>
      <xdr:rowOff>0</xdr:rowOff>
    </xdr:from>
    <xdr:ext cx="3174" cy="17271"/>
    <xdr:pic>
      <xdr:nvPicPr>
        <xdr:cNvPr id="15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5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5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39</xdr:row>
      <xdr:rowOff>0</xdr:rowOff>
    </xdr:from>
    <xdr:ext cx="3174" cy="17271"/>
    <xdr:pic>
      <xdr:nvPicPr>
        <xdr:cNvPr id="15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680402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5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5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6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6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6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6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6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6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6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6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6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6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7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7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7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7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7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7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7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7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7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7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8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8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8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8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8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8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8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8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18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18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19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19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19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19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19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19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19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19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19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19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15030" y="353060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0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0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0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0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0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0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85670" y="3845560"/>
          <a:ext cx="3175" cy="1714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1206502</xdr:colOff>
      <xdr:row>0</xdr:row>
      <xdr:rowOff>0</xdr:rowOff>
    </xdr:from>
    <xdr:ext cx="3174" cy="17271"/>
    <xdr:pic>
      <xdr:nvPicPr>
        <xdr:cNvPr id="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5" cy="17271"/>
    <xdr:pic>
      <xdr:nvPicPr>
        <xdr:cNvPr id="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5" cy="17271"/>
    <xdr:pic>
      <xdr:nvPicPr>
        <xdr:cNvPr id="2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3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3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3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4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4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4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4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4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5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5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5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5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5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5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5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5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5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5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6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6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6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6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6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6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6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6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6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6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5" cy="17271"/>
    <xdr:pic>
      <xdr:nvPicPr>
        <xdr:cNvPr id="7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7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8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8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8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8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8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8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8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8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8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8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5" cy="17271"/>
    <xdr:pic>
      <xdr:nvPicPr>
        <xdr:cNvPr id="9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9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0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0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0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0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0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0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0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0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0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0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1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1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1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1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1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1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1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1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1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1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2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2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12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12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12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12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12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12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12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12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25</xdr:row>
      <xdr:rowOff>0</xdr:rowOff>
    </xdr:from>
    <xdr:ext cx="3174" cy="17271"/>
    <xdr:pic>
      <xdr:nvPicPr>
        <xdr:cNvPr id="13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4449445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13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13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25</xdr:row>
      <xdr:rowOff>0</xdr:rowOff>
    </xdr:from>
    <xdr:ext cx="3174" cy="17271"/>
    <xdr:pic>
      <xdr:nvPicPr>
        <xdr:cNvPr id="13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444944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3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3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3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5" cy="17271"/>
    <xdr:pic>
      <xdr:nvPicPr>
        <xdr:cNvPr id="13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3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3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4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4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5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5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5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5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5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5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5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5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5" cy="17271"/>
    <xdr:pic>
      <xdr:nvPicPr>
        <xdr:cNvPr id="15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5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6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7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7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7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7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7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7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7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7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7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7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8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8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8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8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18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8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8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18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8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8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9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9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97637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9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97637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9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97637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9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9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19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9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97637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9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97637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22</xdr:row>
      <xdr:rowOff>0</xdr:rowOff>
    </xdr:from>
    <xdr:ext cx="3174" cy="17271"/>
    <xdr:pic>
      <xdr:nvPicPr>
        <xdr:cNvPr id="19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97637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5" cy="17271"/>
    <xdr:pic>
      <xdr:nvPicPr>
        <xdr:cNvPr id="20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0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1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1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1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1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1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1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1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1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1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1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5" cy="17271"/>
    <xdr:pic>
      <xdr:nvPicPr>
        <xdr:cNvPr id="22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2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3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3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3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3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3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3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3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3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3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3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4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4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4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4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4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4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4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4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4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4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0</xdr:row>
      <xdr:rowOff>0</xdr:rowOff>
    </xdr:from>
    <xdr:ext cx="3174" cy="17271"/>
    <xdr:pic>
      <xdr:nvPicPr>
        <xdr:cNvPr id="25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5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5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0</xdr:row>
      <xdr:rowOff>0</xdr:rowOff>
    </xdr:from>
    <xdr:ext cx="3174" cy="17271"/>
    <xdr:pic>
      <xdr:nvPicPr>
        <xdr:cNvPr id="25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25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66141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25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66141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25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66141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25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66141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25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66141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25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66141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26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66141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26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66141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20</xdr:row>
      <xdr:rowOff>0</xdr:rowOff>
    </xdr:from>
    <xdr:ext cx="3174" cy="17271"/>
    <xdr:pic>
      <xdr:nvPicPr>
        <xdr:cNvPr id="26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661410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26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66141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26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661410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20</xdr:row>
      <xdr:rowOff>0</xdr:rowOff>
    </xdr:from>
    <xdr:ext cx="3174" cy="17271"/>
    <xdr:pic>
      <xdr:nvPicPr>
        <xdr:cNvPr id="26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3661410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38</xdr:row>
      <xdr:rowOff>0</xdr:rowOff>
    </xdr:from>
    <xdr:ext cx="3174" cy="17271"/>
    <xdr:pic>
      <xdr:nvPicPr>
        <xdr:cNvPr id="26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675576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38</xdr:row>
      <xdr:rowOff>0</xdr:rowOff>
    </xdr:from>
    <xdr:ext cx="3174" cy="17271"/>
    <xdr:pic>
      <xdr:nvPicPr>
        <xdr:cNvPr id="26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675576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38</xdr:row>
      <xdr:rowOff>0</xdr:rowOff>
    </xdr:from>
    <xdr:ext cx="3174" cy="17271"/>
    <xdr:pic>
      <xdr:nvPicPr>
        <xdr:cNvPr id="26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6755765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38</xdr:row>
      <xdr:rowOff>0</xdr:rowOff>
    </xdr:from>
    <xdr:ext cx="3174" cy="17271"/>
    <xdr:pic>
      <xdr:nvPicPr>
        <xdr:cNvPr id="26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675576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38</xdr:row>
      <xdr:rowOff>0</xdr:rowOff>
    </xdr:from>
    <xdr:ext cx="3174" cy="17271"/>
    <xdr:pic>
      <xdr:nvPicPr>
        <xdr:cNvPr id="27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675576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38</xdr:row>
      <xdr:rowOff>0</xdr:rowOff>
    </xdr:from>
    <xdr:ext cx="3174" cy="17271"/>
    <xdr:pic>
      <xdr:nvPicPr>
        <xdr:cNvPr id="27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6755765"/>
          <a:ext cx="3175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7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7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7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7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7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7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7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7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8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8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8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5</xdr:col>
      <xdr:colOff>1206502</xdr:colOff>
      <xdr:row>19</xdr:row>
      <xdr:rowOff>0</xdr:rowOff>
    </xdr:from>
    <xdr:ext cx="3174" cy="17271"/>
    <xdr:pic>
      <xdr:nvPicPr>
        <xdr:cNvPr id="28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83400" y="350393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8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8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8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8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8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22</xdr:row>
      <xdr:rowOff>0</xdr:rowOff>
    </xdr:from>
    <xdr:ext cx="3174" cy="17271"/>
    <xdr:pic>
      <xdr:nvPicPr>
        <xdr:cNvPr id="28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3976370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38</xdr:row>
      <xdr:rowOff>0</xdr:rowOff>
    </xdr:from>
    <xdr:ext cx="3174" cy="17271"/>
    <xdr:pic>
      <xdr:nvPicPr>
        <xdr:cNvPr id="29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675576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38</xdr:row>
      <xdr:rowOff>0</xdr:rowOff>
    </xdr:from>
    <xdr:ext cx="3174" cy="17271"/>
    <xdr:pic>
      <xdr:nvPicPr>
        <xdr:cNvPr id="29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675576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38</xdr:row>
      <xdr:rowOff>0</xdr:rowOff>
    </xdr:from>
    <xdr:ext cx="3174" cy="17271"/>
    <xdr:pic>
      <xdr:nvPicPr>
        <xdr:cNvPr id="292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6755765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38</xdr:row>
      <xdr:rowOff>0</xdr:rowOff>
    </xdr:from>
    <xdr:ext cx="3174" cy="17271"/>
    <xdr:pic>
      <xdr:nvPicPr>
        <xdr:cNvPr id="293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675576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38</xdr:row>
      <xdr:rowOff>0</xdr:rowOff>
    </xdr:from>
    <xdr:ext cx="3174" cy="17271"/>
    <xdr:pic>
      <xdr:nvPicPr>
        <xdr:cNvPr id="294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675576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38</xdr:row>
      <xdr:rowOff>0</xdr:rowOff>
    </xdr:from>
    <xdr:ext cx="3174" cy="17271"/>
    <xdr:pic>
      <xdr:nvPicPr>
        <xdr:cNvPr id="295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6755765"/>
          <a:ext cx="3175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35</xdr:row>
      <xdr:rowOff>0</xdr:rowOff>
    </xdr:from>
    <xdr:ext cx="3174" cy="17271"/>
    <xdr:pic>
      <xdr:nvPicPr>
        <xdr:cNvPr id="29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621855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35</xdr:row>
      <xdr:rowOff>0</xdr:rowOff>
    </xdr:from>
    <xdr:ext cx="3174" cy="17271"/>
    <xdr:pic>
      <xdr:nvPicPr>
        <xdr:cNvPr id="297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6218555"/>
          <a:ext cx="2540" cy="17145"/>
        </a:xfrm>
        <a:prstGeom prst="rect">
          <a:avLst/>
        </a:prstGeom>
      </xdr:spPr>
    </xdr:pic>
    <xdr:clientData/>
  </xdr:oneCellAnchor>
  <xdr:oneCellAnchor>
    <xdr:from>
      <xdr:col>1</xdr:col>
      <xdr:colOff>1206502</xdr:colOff>
      <xdr:row>35</xdr:row>
      <xdr:rowOff>0</xdr:rowOff>
    </xdr:from>
    <xdr:ext cx="3174" cy="17271"/>
    <xdr:pic>
      <xdr:nvPicPr>
        <xdr:cNvPr id="298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79600" y="6218555"/>
          <a:ext cx="2540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35</xdr:row>
      <xdr:rowOff>0</xdr:rowOff>
    </xdr:from>
    <xdr:ext cx="3174" cy="17271"/>
    <xdr:pic>
      <xdr:nvPicPr>
        <xdr:cNvPr id="299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621855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35</xdr:row>
      <xdr:rowOff>0</xdr:rowOff>
    </xdr:from>
    <xdr:ext cx="3174" cy="17271"/>
    <xdr:pic>
      <xdr:nvPicPr>
        <xdr:cNvPr id="300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6218555"/>
          <a:ext cx="3175" cy="17145"/>
        </a:xfrm>
        <a:prstGeom prst="rect">
          <a:avLst/>
        </a:prstGeom>
      </xdr:spPr>
    </xdr:pic>
    <xdr:clientData/>
  </xdr:oneCellAnchor>
  <xdr:oneCellAnchor>
    <xdr:from>
      <xdr:col>2</xdr:col>
      <xdr:colOff>1206502</xdr:colOff>
      <xdr:row>35</xdr:row>
      <xdr:rowOff>0</xdr:rowOff>
    </xdr:from>
    <xdr:ext cx="3174" cy="17271"/>
    <xdr:pic>
      <xdr:nvPicPr>
        <xdr:cNvPr id="301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86100" y="6218555"/>
          <a:ext cx="3175" cy="1714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"/>
  <sheetViews>
    <sheetView tabSelected="1" workbookViewId="0">
      <selection activeCell="A2" sqref="A2"/>
    </sheetView>
  </sheetViews>
  <sheetFormatPr defaultColWidth="9" defaultRowHeight="14.1" outlineLevelRow="5"/>
  <cols>
    <col min="3" max="3" width="13.6666666666667" customWidth="1"/>
    <col min="4" max="11" width="9.66666666666667" customWidth="1"/>
    <col min="12" max="12" width="16.7747747747748" customWidth="1"/>
    <col min="13" max="14" width="7.66666666666667" customWidth="1"/>
    <col min="15" max="15" width="9.66666666666667" customWidth="1"/>
    <col min="16" max="16" width="20.8918918918919" customWidth="1"/>
    <col min="17" max="17" width="14.3333333333333" customWidth="1"/>
    <col min="18" max="19" width="5.66666666666667" customWidth="1"/>
    <col min="20" max="20" width="10.2252252252252" customWidth="1"/>
    <col min="21" max="25" width="9.66666666666667" customWidth="1"/>
  </cols>
  <sheetData>
    <row r="1" ht="16.25" spans="1:28">
      <c r="A1" s="98" t="s">
        <v>0</v>
      </c>
      <c r="B1" s="98" t="s">
        <v>1</v>
      </c>
      <c r="C1" s="98" t="s">
        <v>2</v>
      </c>
      <c r="D1" s="95" t="s">
        <v>3</v>
      </c>
      <c r="E1" s="95" t="s">
        <v>4</v>
      </c>
      <c r="F1" s="95" t="s">
        <v>5</v>
      </c>
      <c r="G1" s="95" t="s">
        <v>6</v>
      </c>
      <c r="H1" s="95" t="s">
        <v>7</v>
      </c>
      <c r="I1" s="95" t="s">
        <v>4</v>
      </c>
      <c r="J1" s="95" t="s">
        <v>8</v>
      </c>
      <c r="K1" s="95" t="s">
        <v>9</v>
      </c>
      <c r="L1" s="95" t="s">
        <v>10</v>
      </c>
      <c r="M1" s="95" t="s">
        <v>11</v>
      </c>
      <c r="N1" s="95" t="s">
        <v>12</v>
      </c>
      <c r="O1" s="95" t="s">
        <v>13</v>
      </c>
      <c r="P1" s="99" t="s">
        <v>14</v>
      </c>
      <c r="Q1" s="99" t="s">
        <v>15</v>
      </c>
      <c r="R1" s="99" t="s">
        <v>16</v>
      </c>
      <c r="S1" s="99" t="s">
        <v>17</v>
      </c>
      <c r="T1" s="99" t="s">
        <v>18</v>
      </c>
      <c r="U1" s="99" t="s">
        <v>19</v>
      </c>
      <c r="V1" s="99" t="s">
        <v>20</v>
      </c>
      <c r="W1" s="99" t="s">
        <v>21</v>
      </c>
      <c r="X1" s="99" t="s">
        <v>22</v>
      </c>
      <c r="Y1" s="99" t="s">
        <v>23</v>
      </c>
      <c r="Z1" s="100" t="s">
        <v>24</v>
      </c>
      <c r="AA1" s="100" t="s">
        <v>25</v>
      </c>
      <c r="AB1" s="100" t="s">
        <v>26</v>
      </c>
    </row>
    <row r="2" ht="16.25" spans="1:28">
      <c r="A2">
        <v>1</v>
      </c>
      <c r="B2">
        <v>1</v>
      </c>
      <c r="C2" s="101">
        <v>45954</v>
      </c>
      <c r="D2" s="102" t="s">
        <v>27</v>
      </c>
      <c r="E2" s="102">
        <v>1</v>
      </c>
      <c r="F2" s="102">
        <v>1</v>
      </c>
      <c r="G2" s="102">
        <v>1</v>
      </c>
      <c r="H2" s="103">
        <v>12345671234</v>
      </c>
      <c r="I2" s="102">
        <v>1</v>
      </c>
      <c r="J2" s="102">
        <v>1</v>
      </c>
      <c r="K2" s="102">
        <v>1</v>
      </c>
      <c r="L2" s="102">
        <v>12312341234</v>
      </c>
      <c r="M2" s="102" t="s">
        <v>28</v>
      </c>
      <c r="N2" s="102" t="s">
        <v>29</v>
      </c>
      <c r="O2" s="102"/>
      <c r="P2" s="102" t="s">
        <v>30</v>
      </c>
      <c r="Q2" s="102">
        <v>8415901000</v>
      </c>
      <c r="R2" s="102">
        <v>1</v>
      </c>
      <c r="S2" s="102">
        <v>48</v>
      </c>
      <c r="T2" s="102">
        <f>1.2*0.78*0.84</f>
        <v>0.78624</v>
      </c>
      <c r="U2" s="102">
        <v>141</v>
      </c>
      <c r="V2" s="102"/>
      <c r="W2" s="102" t="s">
        <v>31</v>
      </c>
      <c r="X2" s="102" t="s">
        <v>32</v>
      </c>
      <c r="Y2" s="102"/>
    </row>
    <row r="6" spans="1:28">
      <c r="G6" s="10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B3" sqref="B3"/>
    </sheetView>
  </sheetViews>
  <sheetFormatPr defaultColWidth="9" defaultRowHeight="14.1" outlineLevelCol="7"/>
  <cols>
    <col min="8" max="8" width="18.6666666666667" customWidth="1"/>
  </cols>
  <sheetData>
    <row r="1" ht="16.25" spans="1:8">
      <c r="A1" s="96" t="s">
        <v>33</v>
      </c>
      <c r="B1" s="96" t="s">
        <v>34</v>
      </c>
      <c r="C1" s="96" t="s">
        <v>35</v>
      </c>
      <c r="D1" s="97" t="s">
        <v>36</v>
      </c>
      <c r="E1" s="96" t="s">
        <v>37</v>
      </c>
      <c r="F1" s="96" t="s">
        <v>38</v>
      </c>
      <c r="G1" s="96" t="s">
        <v>39</v>
      </c>
      <c r="H1" s="96" t="s">
        <v>40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D6" sqref="D6"/>
    </sheetView>
  </sheetViews>
  <sheetFormatPr defaultColWidth="9" defaultRowHeight="14.1" outlineLevelCol="4"/>
  <sheetData>
    <row r="1" ht="16.25" spans="1:5">
      <c r="A1" s="95" t="s">
        <v>4</v>
      </c>
      <c r="B1" t="s">
        <v>41</v>
      </c>
      <c r="C1" t="s">
        <v>42</v>
      </c>
      <c r="D1" t="s">
        <v>43</v>
      </c>
      <c r="E1" t="s">
        <v>44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9189189189189" defaultRowHeight="14.1"/>
  <sheetData>
    <row r="1" spans="1:1">
      <c r="A1" t="s">
        <v>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topLeftCell="A13" workbookViewId="0">
      <selection activeCell="F19" sqref="F19:G19"/>
    </sheetView>
  </sheetViews>
  <sheetFormatPr defaultColWidth="10" defaultRowHeight="16.25"/>
  <cols>
    <col min="1" max="1" width="9.89189189189189" style="57" customWidth="1"/>
    <col min="2" max="2" width="16.6666666666667" style="57" customWidth="1"/>
    <col min="3" max="3" width="16.5585585585586" style="57" customWidth="1"/>
    <col min="4" max="4" width="14.6666666666667" style="57" customWidth="1"/>
    <col min="5" max="5" width="18" style="57" customWidth="1"/>
    <col min="6" max="6" width="14.3333333333333" style="57" customWidth="1"/>
    <col min="7" max="7" width="9.66666666666667" style="57" customWidth="1"/>
    <col min="8" max="9" width="13.2252252252252" style="57"/>
    <col min="10" max="11" width="8.77477477477477" style="57" customWidth="1"/>
    <col min="12" max="12" width="12.3333333333333" style="57" customWidth="1"/>
    <col min="13" max="13" width="10" style="57" customWidth="1"/>
    <col min="14" max="14" width="6.33333333333333" style="57" customWidth="1"/>
    <col min="15" max="16384" width="10" style="57"/>
  </cols>
  <sheetData>
    <row r="1" s="57" customFormat="1" ht="27.75" customHeight="1" spans="1:14">
      <c r="A1" s="59" t="s">
        <v>46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="57" customFormat="1" ht="18" customHeight="1" spans="1:14">
      <c r="A2" s="58" t="s">
        <v>47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="57" customFormat="1" ht="18" customHeight="1" spans="1:14">
      <c r="A3" s="60" t="s">
        <v>48</v>
      </c>
      <c r="B3" s="60"/>
      <c r="C3" s="60"/>
      <c r="D3" s="60" t="s">
        <v>49</v>
      </c>
      <c r="E3" s="60"/>
      <c r="F3" s="60" t="s">
        <v>50</v>
      </c>
      <c r="G3" s="60"/>
      <c r="H3" s="60"/>
      <c r="I3" s="60" t="s">
        <v>51</v>
      </c>
      <c r="J3" s="60"/>
      <c r="K3" s="61" t="s">
        <v>52</v>
      </c>
      <c r="L3" s="62"/>
      <c r="M3" s="62"/>
      <c r="N3" s="63"/>
    </row>
    <row r="4" s="57" customFormat="1" ht="18" customHeight="1" spans="1:14">
      <c r="A4" s="60" t="s">
        <v>53</v>
      </c>
      <c r="B4" s="60"/>
      <c r="C4" s="60"/>
      <c r="D4" s="60"/>
      <c r="E4" s="60"/>
      <c r="F4" s="64">
        <v>45979</v>
      </c>
      <c r="G4" s="60"/>
      <c r="H4" s="60"/>
      <c r="I4" s="60"/>
      <c r="J4" s="60"/>
      <c r="K4" s="65"/>
      <c r="L4" s="65"/>
      <c r="M4" s="65"/>
      <c r="N4" s="65"/>
    </row>
    <row r="5" s="57" customFormat="1" ht="18" customHeight="1" spans="1:14">
      <c r="A5" s="60" t="s">
        <v>54</v>
      </c>
      <c r="B5" s="60"/>
      <c r="C5" s="60"/>
      <c r="D5" s="60" t="s">
        <v>33</v>
      </c>
      <c r="E5" s="60"/>
      <c r="F5" s="60" t="s">
        <v>55</v>
      </c>
      <c r="G5" s="60"/>
      <c r="H5" s="60"/>
      <c r="I5" s="60" t="s">
        <v>56</v>
      </c>
      <c r="J5" s="60"/>
      <c r="K5" s="60"/>
      <c r="L5" s="60"/>
      <c r="M5" s="60"/>
      <c r="N5" s="60"/>
    </row>
    <row r="6" s="57" customFormat="1" ht="18" customHeight="1" spans="1:14">
      <c r="A6" s="60" t="s">
        <v>57</v>
      </c>
      <c r="B6" s="60"/>
      <c r="C6" s="60"/>
      <c r="D6" s="60" t="s">
        <v>58</v>
      </c>
      <c r="E6" s="60"/>
      <c r="F6" s="60"/>
      <c r="G6" s="60"/>
      <c r="H6" s="60"/>
      <c r="I6" s="60"/>
      <c r="J6" s="60"/>
      <c r="K6" s="60"/>
      <c r="L6" s="60"/>
      <c r="M6" s="60"/>
      <c r="N6" s="60"/>
    </row>
    <row r="7" s="57" customFormat="1" ht="18" customHeight="1" spans="1:14">
      <c r="A7" s="60" t="s">
        <v>59</v>
      </c>
      <c r="B7" s="60"/>
      <c r="C7" s="60"/>
      <c r="D7" s="60" t="s">
        <v>60</v>
      </c>
      <c r="E7" s="60"/>
      <c r="F7" s="60" t="s">
        <v>61</v>
      </c>
      <c r="G7" s="60"/>
      <c r="H7" s="60"/>
      <c r="I7" s="60" t="s">
        <v>62</v>
      </c>
      <c r="J7" s="60"/>
      <c r="K7" s="60"/>
      <c r="L7" s="60"/>
      <c r="M7" s="60"/>
      <c r="N7" s="60"/>
    </row>
    <row r="8" s="57" customFormat="1" ht="18" customHeight="1" spans="1:14">
      <c r="A8" s="60" t="s">
        <v>53</v>
      </c>
      <c r="B8" s="60"/>
      <c r="C8" s="60"/>
      <c r="D8" s="60" t="s">
        <v>63</v>
      </c>
      <c r="E8" s="60"/>
      <c r="F8" s="60" t="s">
        <v>64</v>
      </c>
      <c r="G8" s="60"/>
      <c r="H8" s="60"/>
      <c r="I8" s="65"/>
      <c r="J8" s="65"/>
      <c r="K8" s="65"/>
      <c r="L8" s="65"/>
      <c r="M8" s="65"/>
      <c r="N8" s="65"/>
    </row>
    <row r="9" s="57" customFormat="1" ht="18" customHeight="1" spans="1:14">
      <c r="A9" s="60" t="s">
        <v>65</v>
      </c>
      <c r="B9" s="60"/>
      <c r="C9" s="60"/>
      <c r="D9" s="60" t="s">
        <v>66</v>
      </c>
      <c r="E9" s="60"/>
      <c r="F9" s="60" t="s">
        <v>67</v>
      </c>
      <c r="G9" s="60"/>
      <c r="H9" s="60"/>
      <c r="I9" s="60" t="s">
        <v>68</v>
      </c>
      <c r="J9" s="60"/>
      <c r="K9" s="60"/>
      <c r="L9" s="60" t="s">
        <v>69</v>
      </c>
      <c r="M9" s="60"/>
      <c r="N9" s="60"/>
    </row>
    <row r="10" s="57" customFormat="1" ht="18" customHeight="1" spans="1:14">
      <c r="A10" s="60" t="s">
        <v>70</v>
      </c>
      <c r="B10" s="60"/>
      <c r="C10" s="60"/>
      <c r="D10" s="60" t="s">
        <v>29</v>
      </c>
      <c r="E10" s="60"/>
      <c r="F10" s="60" t="s">
        <v>29</v>
      </c>
      <c r="G10" s="60"/>
      <c r="H10" s="60"/>
      <c r="I10" s="60" t="s">
        <v>29</v>
      </c>
      <c r="J10" s="60"/>
      <c r="K10" s="60"/>
      <c r="L10" s="60" t="s">
        <v>64</v>
      </c>
      <c r="M10" s="60"/>
      <c r="N10" s="60"/>
    </row>
    <row r="11" s="57" customFormat="1" ht="18" customHeight="1" spans="1:14">
      <c r="A11" s="60" t="s">
        <v>71</v>
      </c>
      <c r="B11" s="60"/>
      <c r="C11" s="60"/>
      <c r="D11" s="60" t="s">
        <v>16</v>
      </c>
      <c r="E11" s="60" t="s">
        <v>72</v>
      </c>
      <c r="F11" s="60" t="s">
        <v>73</v>
      </c>
      <c r="G11" s="61" t="s">
        <v>74</v>
      </c>
      <c r="H11" s="63"/>
      <c r="I11" s="60" t="s">
        <v>75</v>
      </c>
      <c r="J11" s="60"/>
      <c r="K11" s="61" t="s">
        <v>76</v>
      </c>
      <c r="L11" s="63"/>
      <c r="M11" s="61" t="s">
        <v>77</v>
      </c>
      <c r="N11" s="63"/>
    </row>
    <row r="12" s="57" customFormat="1" ht="22.5" customHeight="1" spans="1:14">
      <c r="A12" s="60" t="s">
        <v>78</v>
      </c>
      <c r="B12" s="60"/>
      <c r="C12" s="60"/>
      <c r="D12" s="60">
        <v>1</v>
      </c>
      <c r="E12" s="66">
        <v>42</v>
      </c>
      <c r="F12" s="67">
        <v>30.73</v>
      </c>
      <c r="G12" s="61" t="s">
        <v>79</v>
      </c>
      <c r="H12" s="63"/>
      <c r="I12" s="60"/>
      <c r="J12" s="60"/>
      <c r="K12" s="61"/>
      <c r="L12" s="63"/>
      <c r="M12" s="61"/>
      <c r="N12" s="63"/>
    </row>
    <row r="13" s="57" customFormat="1" ht="18" customHeight="1" spans="1:14">
      <c r="A13" s="60" t="s">
        <v>80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</row>
    <row r="14" s="57" customFormat="1" ht="18" customHeight="1" spans="1:14">
      <c r="A14" s="60" t="s">
        <v>81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</row>
    <row r="15" s="57" customFormat="1" ht="18" customHeight="1" spans="1:14">
      <c r="A15" s="60" t="s">
        <v>82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</row>
    <row r="16" s="57" customFormat="1" ht="30.75" customHeight="1" spans="1:14">
      <c r="A16" s="60" t="s">
        <v>83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</row>
    <row r="17" s="58" customFormat="1" ht="28.5" customHeight="1" spans="1:14">
      <c r="A17" s="65" t="s">
        <v>84</v>
      </c>
      <c r="B17" s="65" t="s">
        <v>15</v>
      </c>
      <c r="C17" s="68" t="s">
        <v>85</v>
      </c>
      <c r="D17" s="69"/>
      <c r="E17" s="70"/>
      <c r="F17" s="68" t="s">
        <v>86</v>
      </c>
      <c r="G17" s="70"/>
      <c r="H17" s="65" t="s">
        <v>87</v>
      </c>
      <c r="I17" s="65" t="s">
        <v>88</v>
      </c>
      <c r="J17" s="65" t="s">
        <v>89</v>
      </c>
      <c r="K17" s="71" t="s">
        <v>90</v>
      </c>
      <c r="L17" s="71" t="s">
        <v>91</v>
      </c>
      <c r="M17" s="71" t="s">
        <v>92</v>
      </c>
      <c r="N17" s="65" t="s">
        <v>93</v>
      </c>
    </row>
    <row r="18" s="58" customFormat="1" ht="79" customHeight="1" spans="1:14">
      <c r="A18" s="71">
        <v>1</v>
      </c>
      <c r="B18" s="72">
        <v>8415901000</v>
      </c>
      <c r="C18" s="73" t="s">
        <v>94</v>
      </c>
      <c r="D18" s="74"/>
      <c r="E18" s="75"/>
      <c r="F18" s="76" t="s">
        <v>95</v>
      </c>
      <c r="G18" s="77"/>
      <c r="H18" s="78">
        <f>I18/10</f>
        <v>75.58</v>
      </c>
      <c r="I18" s="78">
        <v>755.8</v>
      </c>
      <c r="J18" s="65" t="s">
        <v>96</v>
      </c>
      <c r="K18" s="71" t="s">
        <v>97</v>
      </c>
      <c r="L18" s="71" t="s">
        <v>29</v>
      </c>
      <c r="M18" s="71" t="s">
        <v>98</v>
      </c>
      <c r="N18" s="71"/>
    </row>
    <row r="19" s="58" customFormat="1" ht="82" customHeight="1" spans="1:14">
      <c r="A19" s="71">
        <v>2</v>
      </c>
      <c r="B19" s="72">
        <v>8415901000</v>
      </c>
      <c r="C19" s="73" t="s">
        <v>99</v>
      </c>
      <c r="D19" s="74"/>
      <c r="E19" s="75"/>
      <c r="F19" s="76" t="s">
        <v>100</v>
      </c>
      <c r="G19" s="77"/>
      <c r="H19" s="78">
        <f>I19/17</f>
        <v>170.104117647059</v>
      </c>
      <c r="I19" s="78">
        <v>2891.77</v>
      </c>
      <c r="J19" s="65" t="s">
        <v>96</v>
      </c>
      <c r="K19" s="71" t="s">
        <v>97</v>
      </c>
      <c r="L19" s="71" t="s">
        <v>29</v>
      </c>
      <c r="M19" s="71" t="s">
        <v>98</v>
      </c>
      <c r="N19" s="71"/>
    </row>
    <row r="20" s="57" customFormat="1" ht="48.75" customHeight="1" spans="1:14">
      <c r="A20" s="61" t="s">
        <v>101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3"/>
    </row>
    <row r="21" s="58" customFormat="1" ht="41.25" customHeight="1" spans="1:14">
      <c r="A21" s="79" t="s">
        <v>102</v>
      </c>
      <c r="B21" s="80"/>
      <c r="C21" s="81" t="s">
        <v>103</v>
      </c>
      <c r="D21" s="81"/>
      <c r="E21" s="81" t="s">
        <v>43</v>
      </c>
      <c r="F21" s="82" t="s">
        <v>104</v>
      </c>
      <c r="G21" s="82"/>
      <c r="H21" s="82"/>
      <c r="I21" s="83"/>
      <c r="J21" s="80" t="s">
        <v>105</v>
      </c>
      <c r="K21" s="80"/>
      <c r="L21" s="80"/>
      <c r="M21" s="80"/>
      <c r="N21" s="84"/>
    </row>
    <row r="22" s="57" customFormat="1" ht="15.75" customHeight="1" spans="1:14">
      <c r="A22" s="85" t="s">
        <v>106</v>
      </c>
      <c r="B22" s="58"/>
      <c r="C22" s="58"/>
      <c r="D22" s="58"/>
      <c r="E22" s="58"/>
      <c r="F22" s="58" t="s">
        <v>107</v>
      </c>
      <c r="G22" s="58"/>
      <c r="H22" s="58"/>
      <c r="I22" s="86"/>
      <c r="J22" s="87"/>
      <c r="K22" s="57"/>
      <c r="L22" s="57"/>
      <c r="M22" s="57"/>
      <c r="N22" s="88"/>
    </row>
    <row r="23" s="57" customFormat="1" ht="12.75" customHeight="1" spans="1:14">
      <c r="A23" s="89"/>
      <c r="B23" s="90"/>
      <c r="C23" s="90"/>
      <c r="D23" s="90"/>
      <c r="E23" s="90"/>
      <c r="F23" s="90"/>
      <c r="G23" s="90"/>
      <c r="H23" s="90"/>
      <c r="I23" s="91"/>
      <c r="J23" s="92"/>
      <c r="K23" s="93"/>
      <c r="L23" s="93"/>
      <c r="M23" s="93"/>
      <c r="N23" s="94"/>
    </row>
  </sheetData>
  <mergeCells count="64">
    <mergeCell ref="A1:N1"/>
    <mergeCell ref="A2:N2"/>
    <mergeCell ref="A3:C3"/>
    <mergeCell ref="D3:E3"/>
    <mergeCell ref="F3:H3"/>
    <mergeCell ref="I3:J3"/>
    <mergeCell ref="K3:N3"/>
    <mergeCell ref="A4:C4"/>
    <mergeCell ref="D4:E4"/>
    <mergeCell ref="F4:H4"/>
    <mergeCell ref="I4:J4"/>
    <mergeCell ref="K4:N4"/>
    <mergeCell ref="A5:C5"/>
    <mergeCell ref="D5:E5"/>
    <mergeCell ref="F5:H5"/>
    <mergeCell ref="I5:N5"/>
    <mergeCell ref="A6:C6"/>
    <mergeCell ref="D6:E6"/>
    <mergeCell ref="F6:H6"/>
    <mergeCell ref="I6:N6"/>
    <mergeCell ref="A7:C7"/>
    <mergeCell ref="D7:E7"/>
    <mergeCell ref="F7:H7"/>
    <mergeCell ref="I7:N7"/>
    <mergeCell ref="A8:C8"/>
    <mergeCell ref="D8:E8"/>
    <mergeCell ref="F8:H8"/>
    <mergeCell ref="I8:N8"/>
    <mergeCell ref="A9:C9"/>
    <mergeCell ref="D9:E9"/>
    <mergeCell ref="F9:H9"/>
    <mergeCell ref="I9:K9"/>
    <mergeCell ref="L9:N9"/>
    <mergeCell ref="A10:C10"/>
    <mergeCell ref="D10:E10"/>
    <mergeCell ref="F10:H10"/>
    <mergeCell ref="I10:K10"/>
    <mergeCell ref="L10:N10"/>
    <mergeCell ref="A11:C11"/>
    <mergeCell ref="G11:H11"/>
    <mergeCell ref="I11:J11"/>
    <mergeCell ref="K11:L11"/>
    <mergeCell ref="M11:N11"/>
    <mergeCell ref="A12:C12"/>
    <mergeCell ref="G12:H12"/>
    <mergeCell ref="I12:J12"/>
    <mergeCell ref="K12:L12"/>
    <mergeCell ref="M12:N12"/>
    <mergeCell ref="A13:N13"/>
    <mergeCell ref="A14:N14"/>
    <mergeCell ref="A15:N15"/>
    <mergeCell ref="A16:N16"/>
    <mergeCell ref="C17:E17"/>
    <mergeCell ref="F17:G17"/>
    <mergeCell ref="C18:E18"/>
    <mergeCell ref="F18:G18"/>
    <mergeCell ref="C19:E19"/>
    <mergeCell ref="F19:G19"/>
    <mergeCell ref="A20:N20"/>
    <mergeCell ref="A21:B21"/>
    <mergeCell ref="F21:I21"/>
    <mergeCell ref="J21:N23"/>
    <mergeCell ref="A22:E23"/>
    <mergeCell ref="F22:I2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workbookViewId="0">
      <selection activeCell="C21" sqref="C21"/>
    </sheetView>
  </sheetViews>
  <sheetFormatPr defaultColWidth="9" defaultRowHeight="12.4" outlineLevelCol="6"/>
  <cols>
    <col min="1" max="1" width="13.8918918918919" style="1" customWidth="1"/>
    <col min="2" max="2" width="17.4414414414414" style="1" customWidth="1"/>
    <col min="3" max="3" width="33.8918918918919" style="1" customWidth="1"/>
    <col min="4" max="4" width="8.10810810810811" style="1" customWidth="1"/>
    <col min="5" max="5" width="14.1081081081081" style="1" customWidth="1"/>
    <col min="6" max="6" width="12" style="2" customWidth="1"/>
    <col min="7" max="7" width="10.1081081081081" style="2" customWidth="1"/>
    <col min="8" max="16384" width="9" style="1"/>
  </cols>
  <sheetData>
    <row r="1" s="1" customFormat="1" spans="1:6">
      <c r="A1" s="1" t="s">
        <v>64</v>
      </c>
      <c r="F1" s="2"/>
    </row>
    <row r="2" s="1" customFormat="1" spans="1:6">
      <c r="F2" s="2"/>
    </row>
    <row r="3" s="1" customFormat="1" spans="1:6">
      <c r="F3" s="2"/>
    </row>
    <row r="4" s="1" customFormat="1" spans="1:6">
      <c r="F4" s="2"/>
    </row>
    <row r="5" s="1" customFormat="1" spans="1:6">
      <c r="E5" s="2"/>
      <c r="F5" s="2"/>
    </row>
    <row r="6" s="1" customFormat="1" spans="1:6">
      <c r="A6" s="3" t="s">
        <v>108</v>
      </c>
      <c r="D6" s="3" t="s">
        <v>109</v>
      </c>
      <c r="F6" s="2"/>
    </row>
    <row r="7" s="1" customFormat="1" spans="1:6">
      <c r="A7" s="1" t="s">
        <v>110</v>
      </c>
      <c r="D7" s="1" t="s">
        <v>111</v>
      </c>
      <c r="F7" s="2"/>
    </row>
    <row r="8" s="1" customFormat="1" spans="1:6">
      <c r="A8" s="1" t="s">
        <v>112</v>
      </c>
      <c r="D8" s="1" t="s">
        <v>113</v>
      </c>
      <c r="F8" s="2"/>
    </row>
    <row r="9" s="1" customFormat="1" spans="1:6">
      <c r="A9" s="1" t="s">
        <v>114</v>
      </c>
      <c r="D9" s="1" t="s">
        <v>115</v>
      </c>
      <c r="F9" s="2"/>
    </row>
    <row r="10" s="1" customFormat="1" spans="1:6">
      <c r="A10" s="1" t="s">
        <v>116</v>
      </c>
      <c r="D10" s="1" t="s">
        <v>117</v>
      </c>
      <c r="F10" s="2"/>
    </row>
    <row r="11" s="1" customFormat="1" spans="1:6">
      <c r="D11" s="4" t="s">
        <v>118</v>
      </c>
      <c r="E11" s="2"/>
      <c r="F11" s="2"/>
    </row>
    <row r="12" s="1" customFormat="1" spans="1:6">
      <c r="E12" s="5"/>
      <c r="F12" s="5"/>
    </row>
    <row r="13" s="1" customFormat="1" spans="1:6">
      <c r="E13" s="2"/>
      <c r="F13" s="2"/>
    </row>
    <row r="14" s="1" customFormat="1" spans="1:6">
      <c r="E14" s="2"/>
      <c r="F14" s="2"/>
    </row>
    <row r="15" s="1" customFormat="1" ht="14.55" spans="1:6">
      <c r="A15" s="1" t="s">
        <v>119</v>
      </c>
      <c r="B15" s="6"/>
      <c r="E15" s="2"/>
      <c r="F15" s="2"/>
    </row>
    <row r="16" s="1" customFormat="1" spans="1:6">
      <c r="A16" s="3"/>
      <c r="E16" s="2"/>
      <c r="F16" s="2"/>
    </row>
    <row r="17" s="1" customFormat="1" spans="1:7">
      <c r="C17" s="7"/>
      <c r="D17" s="8"/>
      <c r="E17" s="9"/>
      <c r="F17" s="9"/>
    </row>
    <row r="18" s="1" customFormat="1" ht="35.1" spans="1:7">
      <c r="A18" s="46" t="s">
        <v>120</v>
      </c>
      <c r="B18" s="46"/>
      <c r="C18" s="46"/>
      <c r="D18" s="46"/>
      <c r="E18" s="46"/>
      <c r="F18" s="46"/>
      <c r="G18" s="46"/>
    </row>
    <row r="19" s="1" customFormat="1" ht="17.55" spans="1:7">
      <c r="A19" s="11"/>
      <c r="B19" s="3"/>
      <c r="C19" s="12"/>
      <c r="E19" s="13" t="s">
        <v>121</v>
      </c>
      <c r="F19" s="14">
        <v>45979</v>
      </c>
    </row>
    <row r="20" s="1" customFormat="1" spans="1:7">
      <c r="E20" s="3" t="s">
        <v>122</v>
      </c>
      <c r="F20" s="15"/>
    </row>
    <row r="21" s="1" customFormat="1" spans="1:7">
      <c r="D21" s="16"/>
      <c r="E21" s="16"/>
      <c r="F21" s="16"/>
    </row>
    <row r="22" s="1" customFormat="1" spans="1:7">
      <c r="E22" s="3"/>
    </row>
    <row r="23" s="1" customFormat="1" ht="12.45" spans="1:7">
      <c r="A23" s="1" t="s">
        <v>123</v>
      </c>
      <c r="B23" s="15">
        <v>89005251118</v>
      </c>
      <c r="C23" s="15"/>
      <c r="E23" s="3" t="s">
        <v>124</v>
      </c>
      <c r="F23" s="1" t="s">
        <v>125</v>
      </c>
    </row>
    <row r="24" s="1" customFormat="1" spans="1:7">
      <c r="A24" s="3"/>
      <c r="E24" s="2"/>
      <c r="F24" s="2"/>
    </row>
    <row r="25" s="1" customFormat="1" spans="1:7">
      <c r="A25" s="18" t="s">
        <v>126</v>
      </c>
      <c r="B25" s="18" t="s">
        <v>127</v>
      </c>
      <c r="C25" s="18" t="s">
        <v>128</v>
      </c>
      <c r="D25" s="19" t="s">
        <v>129</v>
      </c>
      <c r="E25" s="19" t="s">
        <v>130</v>
      </c>
      <c r="F25" s="20" t="s">
        <v>131</v>
      </c>
      <c r="G25" s="20" t="s">
        <v>132</v>
      </c>
    </row>
    <row r="26" s="1" customFormat="1" spans="1:7">
      <c r="A26" s="18"/>
      <c r="B26" s="18"/>
      <c r="C26" s="18"/>
      <c r="D26" s="19" t="s">
        <v>133</v>
      </c>
      <c r="E26" s="19" t="s">
        <v>134</v>
      </c>
      <c r="F26" s="20" t="s">
        <v>135</v>
      </c>
      <c r="G26" s="20" t="s">
        <v>135</v>
      </c>
    </row>
    <row r="27" s="1" customFormat="1" ht="14.1" spans="1:7">
      <c r="A27" s="22">
        <v>4300104393</v>
      </c>
      <c r="B27" s="23">
        <v>85575002</v>
      </c>
      <c r="C27" s="24" t="s">
        <v>136</v>
      </c>
      <c r="D27" s="25">
        <v>10</v>
      </c>
      <c r="E27" s="26"/>
      <c r="F27" s="47">
        <v>75.58</v>
      </c>
      <c r="G27" s="48">
        <f>D27*F27</f>
        <v>755.8</v>
      </c>
    </row>
    <row r="28" s="1" customFormat="1" ht="14.1" spans="1:7">
      <c r="A28" s="22">
        <v>4300103647</v>
      </c>
      <c r="B28" s="23">
        <v>85618002</v>
      </c>
      <c r="C28" s="24" t="s">
        <v>137</v>
      </c>
      <c r="D28" s="25">
        <v>17</v>
      </c>
      <c r="E28" s="26"/>
      <c r="F28" s="47">
        <v>170.104117647059</v>
      </c>
      <c r="G28" s="48">
        <f>D28*F28</f>
        <v>2891.77</v>
      </c>
    </row>
    <row r="29" s="1" customFormat="1" ht="14.1" spans="1:7">
      <c r="A29" s="22"/>
      <c r="B29" s="23"/>
      <c r="C29" s="24"/>
      <c r="D29" s="25"/>
      <c r="E29" s="49"/>
      <c r="F29" s="47"/>
      <c r="G29" s="48"/>
    </row>
    <row r="30" s="1" customFormat="1" ht="14.1" spans="1:7">
      <c r="A30" s="22"/>
      <c r="B30" s="23"/>
      <c r="C30" s="24"/>
      <c r="D30" s="25"/>
      <c r="E30" s="49"/>
      <c r="F30" s="47"/>
      <c r="G30" s="48"/>
    </row>
    <row r="31" s="1" customFormat="1" ht="14.1" spans="1:7">
      <c r="A31" s="22"/>
      <c r="B31" s="23"/>
      <c r="C31" s="24"/>
      <c r="D31" s="25"/>
      <c r="E31" s="49"/>
      <c r="F31" s="47"/>
      <c r="G31" s="48"/>
    </row>
    <row r="32" s="1" customFormat="1" ht="14.1" spans="1:7">
      <c r="A32" s="22"/>
      <c r="B32" s="23"/>
      <c r="C32" s="24"/>
      <c r="D32" s="25"/>
      <c r="E32" s="49"/>
      <c r="F32" s="47"/>
      <c r="G32" s="48"/>
    </row>
    <row r="33" s="1" customFormat="1" ht="14.1" spans="1:7">
      <c r="A33" s="22"/>
      <c r="B33" s="23"/>
      <c r="C33" s="23"/>
      <c r="D33" s="25"/>
      <c r="E33" s="49"/>
      <c r="F33" s="47"/>
      <c r="G33" s="48"/>
    </row>
    <row r="34" s="1" customFormat="1" ht="14.1" spans="1:7">
      <c r="A34" s="22"/>
      <c r="B34" s="23"/>
      <c r="C34" s="23"/>
      <c r="D34" s="25"/>
      <c r="E34" s="49"/>
      <c r="F34" s="47"/>
      <c r="G34" s="48"/>
    </row>
    <row r="35" s="1" customFormat="1" ht="14.1" spans="1:7">
      <c r="A35" s="22"/>
      <c r="B35" s="23"/>
      <c r="C35" s="23"/>
      <c r="D35" s="25"/>
      <c r="E35" s="49"/>
      <c r="F35" s="47"/>
      <c r="G35" s="48"/>
    </row>
    <row r="36" s="1" customFormat="1" ht="14.1" spans="1:7">
      <c r="A36" s="22"/>
      <c r="B36" s="23"/>
      <c r="C36" s="23"/>
      <c r="D36" s="25"/>
      <c r="E36" s="49"/>
      <c r="F36" s="50"/>
      <c r="G36" s="48"/>
    </row>
    <row r="37" s="1" customFormat="1" ht="14.1" spans="1:7">
      <c r="A37" s="22"/>
      <c r="B37" s="23"/>
      <c r="C37" s="23"/>
      <c r="D37" s="25"/>
      <c r="E37" s="49"/>
      <c r="F37" s="50"/>
      <c r="G37" s="48"/>
    </row>
    <row r="38" s="1" customFormat="1" ht="14.1" spans="1:7">
      <c r="A38" s="22"/>
      <c r="B38" s="23"/>
      <c r="C38" s="23"/>
      <c r="D38" s="25"/>
      <c r="E38" s="49"/>
      <c r="F38" s="47"/>
      <c r="G38" s="48"/>
    </row>
    <row r="39" s="1" customFormat="1" ht="14.1" spans="1:7">
      <c r="A39" s="22"/>
      <c r="B39" s="23"/>
      <c r="C39" s="23"/>
      <c r="D39" s="25"/>
      <c r="E39" s="49"/>
      <c r="F39" s="47"/>
      <c r="G39" s="48"/>
    </row>
    <row r="40" s="1" customFormat="1" spans="1:7">
      <c r="A40" s="51"/>
      <c r="B40" s="30"/>
      <c r="C40" s="4" t="s">
        <v>138</v>
      </c>
      <c r="D40" s="31"/>
      <c r="E40" s="32"/>
      <c r="F40" s="32"/>
      <c r="G40" s="32"/>
    </row>
    <row r="41" s="1" customFormat="1" spans="1:7">
      <c r="A41" s="51"/>
      <c r="B41" s="30"/>
      <c r="C41" s="4" t="s">
        <v>139</v>
      </c>
      <c r="D41" s="31"/>
      <c r="E41" s="32"/>
      <c r="F41" s="32"/>
      <c r="G41" s="32">
        <f>SUM(G27:G39)</f>
        <v>3647.57</v>
      </c>
    </row>
    <row r="42" s="1" customFormat="1" spans="1:7">
      <c r="A42" s="51"/>
      <c r="B42" s="30"/>
      <c r="C42" s="4"/>
      <c r="D42" s="31"/>
      <c r="E42" s="32"/>
      <c r="F42" s="32"/>
      <c r="G42" s="32"/>
    </row>
    <row r="43" s="1" customFormat="1" spans="1:7">
      <c r="A43" s="51"/>
      <c r="B43" s="33" t="s">
        <v>140</v>
      </c>
      <c r="C43" s="34" t="s">
        <v>141</v>
      </c>
      <c r="D43" s="31"/>
      <c r="E43" s="36"/>
      <c r="F43" s="32"/>
      <c r="G43" s="32"/>
    </row>
    <row r="44" s="1" customFormat="1" spans="1:7">
      <c r="A44" s="51"/>
      <c r="B44" s="30"/>
      <c r="D44" s="31"/>
      <c r="E44" s="32"/>
      <c r="F44" s="32"/>
      <c r="G44" s="52"/>
    </row>
    <row r="45" s="1" customFormat="1" spans="1:7">
      <c r="A45" s="51"/>
      <c r="B45" s="33"/>
      <c r="C45" s="34"/>
      <c r="D45" s="31"/>
      <c r="E45" s="32"/>
      <c r="F45" s="32"/>
      <c r="G45" s="32"/>
    </row>
    <row r="46" s="1" customFormat="1" spans="1:7">
      <c r="A46" s="51"/>
      <c r="B46" s="30"/>
      <c r="C46" s="34"/>
      <c r="D46" s="31"/>
      <c r="E46" s="30"/>
      <c r="F46" s="32"/>
      <c r="G46" s="32"/>
    </row>
    <row r="47" s="1" customFormat="1" spans="1:7">
      <c r="A47" s="51"/>
      <c r="B47" s="30"/>
      <c r="C47" s="4"/>
      <c r="D47" s="31"/>
      <c r="E47" s="30"/>
      <c r="F47" s="32"/>
      <c r="G47" s="52"/>
    </row>
    <row r="48" s="1" customFormat="1" spans="1:7">
      <c r="A48" s="51"/>
      <c r="B48" s="30"/>
      <c r="C48" s="4"/>
      <c r="D48" s="31"/>
      <c r="E48" s="30"/>
      <c r="F48" s="32"/>
      <c r="G48" s="32"/>
    </row>
    <row r="49" s="1" customFormat="1" ht="12.75" customHeight="1" spans="1:7">
      <c r="A49" s="51"/>
      <c r="B49" s="30"/>
      <c r="C49" s="4"/>
      <c r="D49" s="31"/>
      <c r="E49" s="30"/>
      <c r="F49" s="38"/>
      <c r="G49" s="38"/>
    </row>
    <row r="50" s="1" customFormat="1" spans="1:7">
      <c r="A50" s="29"/>
      <c r="C50" s="53"/>
      <c r="D50" s="35"/>
      <c r="E50" s="30"/>
      <c r="F50" s="38"/>
      <c r="G50" s="38"/>
    </row>
    <row r="51" s="1" customFormat="1" spans="1:7">
      <c r="A51" s="51"/>
      <c r="B51" s="33"/>
      <c r="C51" s="54"/>
      <c r="D51" s="35"/>
      <c r="E51" s="30"/>
      <c r="F51" s="38"/>
      <c r="G51" s="38"/>
    </row>
    <row r="52" s="1" customFormat="1" spans="1:7">
      <c r="A52" s="51"/>
      <c r="B52" s="33"/>
      <c r="D52" s="35"/>
      <c r="E52" s="30"/>
      <c r="F52" s="39"/>
      <c r="G52" s="40"/>
    </row>
    <row r="53" s="1" customFormat="1" spans="1:7">
      <c r="A53" s="43"/>
      <c r="B53" s="55"/>
      <c r="C53" s="56"/>
      <c r="D53" s="44"/>
      <c r="E53" s="42"/>
      <c r="F53" s="45"/>
      <c r="G53" s="45"/>
    </row>
  </sheetData>
  <mergeCells count="6">
    <mergeCell ref="A18:G18"/>
    <mergeCell ref="D21:F21"/>
    <mergeCell ref="B23:C23"/>
    <mergeCell ref="A25:A26"/>
    <mergeCell ref="B25:B26"/>
    <mergeCell ref="C25:C26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opLeftCell="A7" workbookViewId="0">
      <selection activeCell="C29" sqref="C29"/>
    </sheetView>
  </sheetViews>
  <sheetFormatPr defaultColWidth="9" defaultRowHeight="12.4" outlineLevelCol="6"/>
  <cols>
    <col min="1" max="1" width="13.8918918918919" style="1" customWidth="1"/>
    <col min="2" max="2" width="12.7747747747748" style="1" customWidth="1"/>
    <col min="3" max="3" width="35.1081081081081" style="1" customWidth="1"/>
    <col min="4" max="4" width="8.10810810810811" style="1" customWidth="1"/>
    <col min="5" max="5" width="14.6666666666667" style="1" customWidth="1"/>
    <col min="6" max="6" width="13.1081081081081" style="2" customWidth="1"/>
    <col min="7" max="7" width="11" style="2" customWidth="1"/>
    <col min="8" max="10" width="9" style="1"/>
    <col min="11" max="11" width="10.6666666666667" style="1"/>
    <col min="12" max="14" width="12.8918918918919" style="1"/>
    <col min="15" max="16384" width="9" style="1"/>
  </cols>
  <sheetData>
    <row r="1" s="1" customFormat="1" spans="1:6">
      <c r="A1" s="1" t="s">
        <v>64</v>
      </c>
      <c r="F1" s="2"/>
    </row>
    <row r="2" s="1" customFormat="1" spans="1:6">
      <c r="F2" s="2"/>
    </row>
    <row r="3" s="1" customFormat="1" spans="1:6">
      <c r="F3" s="2"/>
    </row>
    <row r="4" s="1" customFormat="1" spans="1:6">
      <c r="F4" s="2"/>
    </row>
    <row r="5" s="1" customFormat="1" spans="1:6">
      <c r="E5" s="2"/>
      <c r="F5" s="2"/>
    </row>
    <row r="6" s="1" customFormat="1" spans="1:6">
      <c r="A6" s="3" t="s">
        <v>108</v>
      </c>
      <c r="D6" s="3" t="s">
        <v>109</v>
      </c>
      <c r="F6" s="2"/>
    </row>
    <row r="7" s="1" customFormat="1" spans="1:6">
      <c r="A7" s="1" t="s">
        <v>110</v>
      </c>
      <c r="D7" s="1" t="s">
        <v>111</v>
      </c>
      <c r="F7" s="2"/>
    </row>
    <row r="8" s="1" customFormat="1" spans="1:6">
      <c r="A8" s="1" t="s">
        <v>112</v>
      </c>
      <c r="D8" s="1" t="s">
        <v>113</v>
      </c>
      <c r="F8" s="2"/>
    </row>
    <row r="9" s="1" customFormat="1" spans="1:6">
      <c r="A9" s="1" t="s">
        <v>114</v>
      </c>
      <c r="D9" s="1" t="s">
        <v>115</v>
      </c>
      <c r="F9" s="2"/>
    </row>
    <row r="10" s="1" customFormat="1" spans="1:6">
      <c r="A10" s="1" t="s">
        <v>116</v>
      </c>
      <c r="D10" s="1" t="s">
        <v>117</v>
      </c>
      <c r="F10" s="2"/>
    </row>
    <row r="11" s="1" customFormat="1" spans="1:6">
      <c r="D11" s="4" t="s">
        <v>118</v>
      </c>
      <c r="E11" s="2"/>
      <c r="F11" s="2"/>
    </row>
    <row r="12" s="1" customFormat="1" spans="1:6">
      <c r="E12" s="5"/>
      <c r="F12" s="5"/>
    </row>
    <row r="13" s="1" customFormat="1" spans="1:6">
      <c r="E13" s="2"/>
      <c r="F13" s="2"/>
    </row>
    <row r="14" s="1" customFormat="1" spans="1:6">
      <c r="E14" s="2"/>
      <c r="F14" s="2"/>
    </row>
    <row r="15" s="1" customFormat="1" ht="14.55" spans="1:6">
      <c r="A15" s="1" t="s">
        <v>119</v>
      </c>
      <c r="B15" s="6"/>
      <c r="E15" s="2"/>
      <c r="F15" s="2"/>
    </row>
    <row r="16" s="1" customFormat="1" spans="1:6">
      <c r="A16" s="3"/>
      <c r="E16" s="2"/>
      <c r="F16" s="2"/>
    </row>
    <row r="17" s="1" customFormat="1" spans="1:7">
      <c r="C17" s="7"/>
      <c r="D17" s="8"/>
      <c r="E17" s="9"/>
      <c r="F17" s="9"/>
    </row>
    <row r="18" s="1" customFormat="1" ht="45.4" spans="1:7">
      <c r="A18" s="10" t="s">
        <v>142</v>
      </c>
      <c r="B18" s="10"/>
      <c r="C18" s="10"/>
      <c r="D18" s="10"/>
      <c r="E18" s="10"/>
      <c r="F18" s="10"/>
      <c r="G18" s="10"/>
    </row>
    <row r="19" s="1" customFormat="1" ht="17.55" spans="1:7">
      <c r="A19" s="11"/>
      <c r="B19" s="3"/>
      <c r="C19" s="12"/>
      <c r="E19" s="13" t="s">
        <v>121</v>
      </c>
      <c r="F19" s="14">
        <v>45979</v>
      </c>
    </row>
    <row r="20" s="1" customFormat="1" spans="1:7">
      <c r="E20" s="3" t="s">
        <v>122</v>
      </c>
      <c r="F20" s="15"/>
    </row>
    <row r="21" s="1" customFormat="1" spans="1:7">
      <c r="D21" s="16"/>
      <c r="E21" s="16"/>
      <c r="F21" s="16"/>
    </row>
    <row r="22" s="1" customFormat="1" spans="1:7">
      <c r="E22" s="3"/>
    </row>
    <row r="23" s="1" customFormat="1" ht="12.45" spans="1:7">
      <c r="A23" s="1" t="s">
        <v>123</v>
      </c>
      <c r="B23" s="15">
        <v>89005251118</v>
      </c>
      <c r="C23" s="15"/>
      <c r="E23" s="3" t="s">
        <v>124</v>
      </c>
      <c r="F23" s="1" t="s">
        <v>125</v>
      </c>
    </row>
    <row r="24" s="1" customFormat="1" spans="1:7">
      <c r="A24" s="3"/>
      <c r="E24" s="2"/>
      <c r="F24" s="2"/>
    </row>
    <row r="25" s="1" customFormat="1" spans="1:7">
      <c r="A25" s="17" t="s">
        <v>126</v>
      </c>
      <c r="B25" s="18" t="s">
        <v>127</v>
      </c>
      <c r="C25" s="18" t="s">
        <v>128</v>
      </c>
      <c r="D25" s="19" t="s">
        <v>129</v>
      </c>
      <c r="E25" s="19" t="s">
        <v>130</v>
      </c>
      <c r="F25" s="20" t="s">
        <v>143</v>
      </c>
      <c r="G25" s="20" t="s">
        <v>144</v>
      </c>
    </row>
    <row r="26" s="1" customFormat="1" spans="1:7">
      <c r="A26" s="21"/>
      <c r="B26" s="18"/>
      <c r="C26" s="18"/>
      <c r="D26" s="19" t="s">
        <v>133</v>
      </c>
      <c r="E26" s="19" t="s">
        <v>134</v>
      </c>
      <c r="F26" s="20" t="s">
        <v>145</v>
      </c>
      <c r="G26" s="20" t="s">
        <v>145</v>
      </c>
    </row>
    <row r="27" s="1" customFormat="1" ht="14.1" spans="1:7">
      <c r="A27" s="22">
        <v>4300104393</v>
      </c>
      <c r="B27" s="23">
        <v>85575002</v>
      </c>
      <c r="C27" s="24" t="s">
        <v>136</v>
      </c>
      <c r="D27" s="25">
        <v>10</v>
      </c>
      <c r="E27" s="26"/>
      <c r="F27" s="27">
        <v>7.64</v>
      </c>
      <c r="G27" s="28">
        <v>25</v>
      </c>
    </row>
    <row r="28" s="1" customFormat="1" ht="14.1" spans="1:7">
      <c r="A28" s="22">
        <v>4300103647</v>
      </c>
      <c r="B28" s="23">
        <v>85618002</v>
      </c>
      <c r="C28" s="24" t="s">
        <v>137</v>
      </c>
      <c r="D28" s="25">
        <v>17</v>
      </c>
      <c r="E28" s="26"/>
      <c r="F28" s="27">
        <v>23.094</v>
      </c>
      <c r="G28" s="28">
        <v>23</v>
      </c>
    </row>
    <row r="29" s="1" customFormat="1" ht="14.1" spans="1:7">
      <c r="A29" s="22"/>
      <c r="B29" s="23"/>
      <c r="C29" s="23"/>
      <c r="D29" s="25"/>
      <c r="E29" s="19"/>
      <c r="F29" s="20"/>
      <c r="G29" s="20"/>
    </row>
    <row r="30" s="1" customFormat="1" ht="14.1" spans="1:7">
      <c r="A30" s="22"/>
      <c r="B30" s="23"/>
      <c r="C30" s="23"/>
      <c r="D30" s="25"/>
      <c r="E30" s="19"/>
      <c r="F30" s="20"/>
      <c r="G30" s="20"/>
    </row>
    <row r="31" s="1" customFormat="1" ht="14.1" spans="1:7">
      <c r="A31" s="22"/>
      <c r="B31" s="23"/>
      <c r="C31" s="23"/>
      <c r="D31" s="25"/>
      <c r="E31" s="19"/>
      <c r="F31" s="20"/>
      <c r="G31" s="20"/>
    </row>
    <row r="32" s="1" customFormat="1" ht="14.1" spans="1:7">
      <c r="A32" s="22"/>
      <c r="B32" s="23"/>
      <c r="C32" s="23"/>
      <c r="D32" s="25"/>
      <c r="E32" s="19"/>
      <c r="F32" s="20"/>
      <c r="G32" s="20"/>
    </row>
    <row r="33" s="1" customFormat="1" ht="14.1" spans="1:7">
      <c r="A33" s="22"/>
      <c r="B33" s="23"/>
      <c r="C33" s="23"/>
      <c r="D33" s="25"/>
      <c r="E33" s="19"/>
      <c r="F33" s="20"/>
      <c r="G33" s="20"/>
    </row>
    <row r="34" s="1" customFormat="1" ht="14.1" spans="1:7">
      <c r="A34" s="22"/>
      <c r="B34" s="23"/>
      <c r="C34" s="23"/>
      <c r="D34" s="25"/>
      <c r="E34" s="19"/>
      <c r="F34" s="20"/>
      <c r="G34" s="20"/>
    </row>
    <row r="35" s="1" customFormat="1" ht="14.1" spans="1:7">
      <c r="A35" s="22"/>
      <c r="B35" s="23"/>
      <c r="C35" s="23"/>
      <c r="D35" s="25"/>
      <c r="E35" s="19"/>
      <c r="F35" s="20"/>
      <c r="G35" s="20"/>
    </row>
    <row r="36" s="1" customFormat="1" ht="14.1" spans="1:7">
      <c r="A36" s="22"/>
      <c r="B36" s="23"/>
      <c r="C36" s="23"/>
      <c r="D36" s="25"/>
      <c r="E36" s="19"/>
      <c r="F36" s="20"/>
      <c r="G36" s="20"/>
    </row>
    <row r="37" s="1" customFormat="1" ht="14.1" spans="1:7">
      <c r="A37" s="22"/>
      <c r="B37" s="23"/>
      <c r="C37" s="23"/>
      <c r="D37" s="25"/>
      <c r="E37" s="19"/>
      <c r="F37" s="20"/>
      <c r="G37" s="20"/>
    </row>
    <row r="38" s="1" customFormat="1" ht="14.1" spans="1:7">
      <c r="A38" s="22"/>
      <c r="B38" s="23"/>
      <c r="C38" s="23"/>
      <c r="D38" s="25"/>
      <c r="E38" s="19"/>
      <c r="F38" s="20"/>
      <c r="G38" s="20"/>
    </row>
    <row r="39" s="1" customFormat="1" spans="1:7">
      <c r="A39" s="29"/>
      <c r="B39" s="30"/>
      <c r="C39" s="4" t="s">
        <v>138</v>
      </c>
      <c r="D39" s="31"/>
      <c r="E39" s="30"/>
      <c r="F39" s="32"/>
      <c r="G39" s="32"/>
    </row>
    <row r="40" s="1" customFormat="1" spans="1:7">
      <c r="A40" s="29"/>
      <c r="B40" s="30"/>
      <c r="C40" s="4" t="s">
        <v>139</v>
      </c>
      <c r="D40" s="31"/>
      <c r="E40" s="30"/>
      <c r="F40" s="32"/>
      <c r="G40" s="32"/>
    </row>
    <row r="41" s="1" customFormat="1" spans="1:7">
      <c r="A41" s="29"/>
      <c r="B41" s="30"/>
      <c r="C41" s="4"/>
      <c r="D41" s="31"/>
      <c r="E41" s="30"/>
      <c r="F41" s="32"/>
      <c r="G41" s="32"/>
    </row>
    <row r="42" s="1" customFormat="1" spans="1:7">
      <c r="A42" s="29"/>
      <c r="B42" s="33" t="s">
        <v>140</v>
      </c>
      <c r="C42" s="34" t="s">
        <v>141</v>
      </c>
      <c r="D42" s="31"/>
      <c r="E42" s="30"/>
      <c r="F42" s="32">
        <f>SUM(F27:F38)</f>
        <v>30.734</v>
      </c>
      <c r="G42" s="32">
        <v>42</v>
      </c>
    </row>
    <row r="43" s="1" customFormat="1" spans="1:7">
      <c r="A43" s="29"/>
      <c r="B43" s="33"/>
      <c r="C43" s="34"/>
      <c r="D43" s="35"/>
      <c r="E43" s="30"/>
      <c r="F43" s="36"/>
      <c r="G43" s="36"/>
    </row>
    <row r="44" s="1" customFormat="1" spans="1:7">
      <c r="A44" s="29"/>
      <c r="B44" s="33" t="s">
        <v>64</v>
      </c>
      <c r="C44" s="4"/>
      <c r="D44" s="35"/>
      <c r="E44" s="30"/>
      <c r="F44" s="32"/>
      <c r="G44" s="32"/>
    </row>
    <row r="45" s="1" customFormat="1" spans="1:7">
      <c r="A45" s="29"/>
      <c r="B45" s="30"/>
      <c r="C45" s="37"/>
      <c r="D45" s="35"/>
      <c r="E45" s="30"/>
      <c r="F45" s="38"/>
      <c r="G45" s="38"/>
    </row>
    <row r="46" s="1" customFormat="1" spans="1:7">
      <c r="A46" s="29"/>
      <c r="B46" s="29"/>
      <c r="C46" s="37"/>
      <c r="D46" s="35"/>
      <c r="E46" s="30"/>
      <c r="F46" s="39"/>
      <c r="G46" s="40"/>
    </row>
    <row r="47" s="1" customFormat="1" spans="1:7">
      <c r="A47" s="29"/>
      <c r="B47" s="29"/>
      <c r="C47" s="4"/>
      <c r="D47" s="35"/>
      <c r="E47" s="30"/>
      <c r="F47" s="39"/>
      <c r="G47" s="40"/>
    </row>
    <row r="48" s="1" customFormat="1" spans="1:7">
      <c r="A48" s="41"/>
      <c r="B48" s="42"/>
      <c r="C48" s="43"/>
      <c r="D48" s="44"/>
      <c r="E48" s="42"/>
      <c r="F48" s="45"/>
      <c r="G48" s="45"/>
    </row>
  </sheetData>
  <mergeCells count="6">
    <mergeCell ref="A18:G18"/>
    <mergeCell ref="D21:F21"/>
    <mergeCell ref="B23:C23"/>
    <mergeCell ref="A25:A26"/>
    <mergeCell ref="B25:B26"/>
    <mergeCell ref="C25:C26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9189189189189" defaultRowHeight="14.1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基础信息</vt:lpstr>
      <vt:lpstr>增加信息</vt:lpstr>
      <vt:lpstr>数据库</vt:lpstr>
      <vt:lpstr>产品数据库</vt:lpstr>
      <vt:lpstr>报关单</vt:lpstr>
      <vt:lpstr>发票</vt:lpstr>
      <vt:lpstr>箱单</vt:lpstr>
      <vt:lpstr>询价格式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Aurora</cp:lastModifiedBy>
  <dcterms:created xsi:type="dcterms:W3CDTF">2023-05-12T11:15:00Z</dcterms:created>
  <dcterms:modified xsi:type="dcterms:W3CDTF">2026-03-02T11:55:41Z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E3A355A96A784032ACA2C72B29A2E615_13</vt:lpwstr>
  </property>
  <property fmtid="{D5CDD505-2E9C-101B-9397-08002B2CF9AE}" pid="4" name="CalculationRule">
    <vt:i4>0</vt:i4>
  </property>
</Properties>
</file>